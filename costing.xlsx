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Unit COGS" sheetId="3" state="visible" r:id="rId3"/>
    <sheet xmlns:r="http://schemas.openxmlformats.org/officeDocument/2006/relationships" name="Per Video" sheetId="4" state="visible" r:id="rId4"/>
    <sheet xmlns:r="http://schemas.openxmlformats.org/officeDocument/2006/relationships" name="Credits" sheetId="5" state="visible" r:id="rId5"/>
    <sheet xmlns:r="http://schemas.openxmlformats.org/officeDocument/2006/relationships" name="Plans" sheetId="6" state="visible" r:id="rId6"/>
    <sheet xmlns:r="http://schemas.openxmlformats.org/officeDocument/2006/relationships" name="Fixed Costs" sheetId="7" state="visible" r:id="rId7"/>
    <sheet xmlns:r="http://schemas.openxmlformats.org/officeDocument/2006/relationships" name="P&amp;L" sheetId="8" state="visible" r:id="rId8"/>
    <sheet xmlns:r="http://schemas.openxmlformats.org/officeDocument/2006/relationships" name="Optimisations" sheetId="9" state="visible" r:id="rId9"/>
    <sheet xmlns:r="http://schemas.openxmlformats.org/officeDocument/2006/relationships" name="User-Facin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₹&quot;#,##0.00"/>
    <numFmt numFmtId="165" formatCode="0.0&quot;x&quot;"/>
    <numFmt numFmtId="166" formatCode="&quot;$&quot;0.000000"/>
    <numFmt numFmtId="167" formatCode="&quot;₹&quot;#,##0"/>
    <numFmt numFmtId="168" formatCode="&quot;$&quot;#,##0"/>
  </numFmts>
  <fonts count="7">
    <font>
      <name val="Calibri"/>
      <family val="2"/>
      <color theme="1"/>
      <sz val="11"/>
      <scheme val="minor"/>
    </font>
    <font>
      <b val="1"/>
      <color rgb="001F2937"/>
      <sz val="14"/>
    </font>
    <font>
      <i val="1"/>
      <color rgb="006B7280"/>
      <sz val="9"/>
    </font>
    <font>
      <b val="1"/>
      <color rgb="000F766E"/>
      <sz val="10"/>
    </font>
    <font>
      <b val="1"/>
      <color rgb="001F2937"/>
      <sz val="10"/>
    </font>
    <font>
      <color rgb="001F2937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0F766E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6" fillId="3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5" fillId="2" borderId="1" pivotButton="0" quotePrefix="0" xfId="0"/>
    <xf numFmtId="9" fontId="5" fillId="2" borderId="1" pivotButton="0" quotePrefix="0" xfId="0"/>
    <xf numFmtId="10" fontId="5" fillId="2" borderId="1" pivotButton="0" quotePrefix="0" xfId="0"/>
    <xf numFmtId="164" fontId="5" fillId="2" borderId="1" pivotButton="0" quotePrefix="0" xfId="0"/>
    <xf numFmtId="0" fontId="6" fillId="3" borderId="1" applyAlignment="1" pivotButton="0" quotePrefix="0" xfId="0">
      <alignment horizontal="left" vertical="center" wrapText="1"/>
    </xf>
    <xf numFmtId="2" fontId="5" fillId="2" borderId="1" pivotButton="0" quotePrefix="0" xfId="0"/>
    <xf numFmtId="165" fontId="5" fillId="2" borderId="1" pivotButton="0" quotePrefix="0" xfId="0"/>
    <xf numFmtId="3" fontId="5" fillId="0" borderId="1" pivotButton="0" quotePrefix="0" xfId="0"/>
    <xf numFmtId="166" fontId="5" fillId="0" borderId="1" pivotButton="0" quotePrefix="0" xfId="0"/>
    <xf numFmtId="164" fontId="5" fillId="0" borderId="1" pivotButton="0" quotePrefix="0" xfId="0"/>
    <xf numFmtId="0" fontId="4" fillId="4" borderId="1" pivotButton="0" quotePrefix="0" xfId="0"/>
    <xf numFmtId="0" fontId="5" fillId="4" borderId="1" pivotButton="0" quotePrefix="0" xfId="0"/>
    <xf numFmtId="164" fontId="4" fillId="4" borderId="1" pivotButton="0" quotePrefix="0" xfId="0"/>
    <xf numFmtId="3" fontId="4" fillId="4" borderId="1" pivotButton="0" quotePrefix="0" xfId="0"/>
    <xf numFmtId="0" fontId="4" fillId="0" borderId="0" pivotButton="0" quotePrefix="0" xfId="0"/>
    <xf numFmtId="3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165" fontId="5" fillId="0" borderId="1" pivotButton="0" quotePrefix="0" xfId="0"/>
    <xf numFmtId="9" fontId="5" fillId="0" borderId="1" pivotButton="0" quotePrefix="0" xfId="0"/>
    <xf numFmtId="0" fontId="2" fillId="0" borderId="1" pivotButton="0" quotePrefix="0" xfId="0"/>
    <xf numFmtId="0" fontId="5" fillId="0" borderId="0" pivotButton="0" quotePrefix="0" xfId="0"/>
    <xf numFmtId="167" fontId="5" fillId="2" borderId="1" pivotButton="0" quotePrefix="0" xfId="0"/>
    <xf numFmtId="1" fontId="5" fillId="0" borderId="1" pivotButton="0" quotePrefix="0" xfId="0"/>
    <xf numFmtId="167" fontId="5" fillId="0" borderId="1" pivotButton="0" quotePrefix="0" xfId="0"/>
    <xf numFmtId="168" fontId="5" fillId="2" borderId="1" pivotButton="0" quotePrefix="0" xfId="0"/>
    <xf numFmtId="168" fontId="4" fillId="4" borderId="1" pivotButton="0" quotePrefix="0" xfId="0"/>
    <xf numFmtId="167" fontId="4" fillId="4" borderId="1" pivotButton="0" quotePrefix="0" xfId="0"/>
    <xf numFmtId="167" fontId="4" fillId="0" borderId="1" pivotButton="0" quotePrefix="0" xfId="0"/>
    <xf numFmtId="9" fontId="4" fillId="0" borderId="1" pivotButton="0" quotePrefix="0" xfId="0"/>
    <xf numFmtId="1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92" customWidth="1" min="2" max="2"/>
  </cols>
  <sheetData>
    <row r="1">
      <c r="A1" s="1" t="inlineStr">
        <is>
          <t>AI Video — cost and pricing model</t>
        </is>
      </c>
    </row>
    <row r="4">
      <c r="A4" s="2" t="inlineStr">
        <is>
          <t>SHEET</t>
        </is>
      </c>
      <c r="B4" s="2" t="inlineStr">
        <is>
          <t>WHAT IT HOLDS</t>
        </is>
      </c>
    </row>
    <row r="5">
      <c r="A5" s="3" t="inlineStr">
        <is>
          <t>Assumptions</t>
        </is>
      </c>
      <c r="B5" s="4" t="inlineStr">
        <is>
          <t>Every input in one place — FX, provider rates, video profile, markup. Yellow = editable.</t>
        </is>
      </c>
    </row>
    <row r="6">
      <c r="A6" s="3" t="inlineStr">
        <is>
          <t>Unit COGS</t>
        </is>
      </c>
      <c r="B6" s="4" t="inlineStr">
        <is>
          <t>One row per provider call, mapped to its call site in src/. Costs are formulas.</t>
        </is>
      </c>
    </row>
    <row r="7">
      <c r="A7" s="3" t="inlineStr">
        <is>
          <t>Per Video</t>
        </is>
      </c>
      <c r="B7" s="4" t="inlineStr">
        <is>
          <t>Build-up of one finished video, first pass and with realistic rework.</t>
        </is>
      </c>
    </row>
    <row r="8">
      <c r="A8" s="3" t="inlineStr">
        <is>
          <t>Credits</t>
        </is>
      </c>
      <c r="B8" s="4" t="inlineStr">
        <is>
          <t>The credit price list, with margin per action and the never-metered list.</t>
        </is>
      </c>
    </row>
    <row r="9">
      <c r="A9" s="3" t="inlineStr">
        <is>
          <t>Plans</t>
        </is>
      </c>
      <c r="B9" s="4" t="inlineStr">
        <is>
          <t>Plan pricing and margin at both 100% and expected credit burn.</t>
        </is>
      </c>
    </row>
    <row r="10">
      <c r="A10" s="3" t="inlineStr">
        <is>
          <t>Fixed Costs</t>
        </is>
      </c>
      <c r="B10" s="4" t="inlineStr">
        <is>
          <t>Monthly infrastructure and the fixed cost per paying user.</t>
        </is>
      </c>
    </row>
    <row r="11">
      <c r="A11" s="3" t="inlineStr">
        <is>
          <t>P&amp;L</t>
        </is>
      </c>
      <c r="B11" s="4" t="inlineStr">
        <is>
          <t>Monthly scenario by user mix, with break-even.</t>
        </is>
      </c>
    </row>
    <row r="12">
      <c r="A12" s="3" t="inlineStr">
        <is>
          <t>Optimisations</t>
        </is>
      </c>
      <c r="B12" s="4" t="inlineStr">
        <is>
          <t>Cost cuts available before launch, quantified.</t>
        </is>
      </c>
    </row>
    <row r="13">
      <c r="A13" s="3" t="inlineStr">
        <is>
          <t>User-Facing</t>
        </is>
      </c>
      <c r="B13" s="4" t="inlineStr">
        <is>
          <t>The surface: what the customer sees, and the UI rules for showing it.</t>
        </is>
      </c>
    </row>
    <row r="16">
      <c r="A16" s="5" t="inlineStr">
        <is>
          <t>Verify first:</t>
        </is>
      </c>
      <c r="B16" s="6" t="inlineStr">
        <is>
          <t>gemini-3.1-flash-tts-preview pricing is an estimate on a preview model, and it drives 74% of voiceover cost. Confirm the rate and GA timeline before committing to the 3-credits-per-15s number.</t>
        </is>
      </c>
    </row>
    <row r="18">
      <c r="A18" s="5" t="inlineStr">
        <is>
          <t>Source:</t>
        </is>
      </c>
      <c r="B18" s="6" t="inlineStr">
        <is>
          <t>Web Application/docs/pricing-and-credits.md — same model in prose, with the Prisma schema and charging rules.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58" customWidth="1" min="6" max="6"/>
  </cols>
  <sheetData>
    <row r="1">
      <c r="A1" s="1" t="inlineStr">
        <is>
          <t>Assumptions</t>
        </is>
      </c>
    </row>
    <row r="2">
      <c r="A2" s="6" t="inlineStr">
        <is>
          <t>Yellow cells are inputs — change these and every other sheet re-costs. Verify provider rates before launch.</t>
        </is>
      </c>
    </row>
    <row r="4">
      <c r="A4" s="5" t="inlineStr">
        <is>
          <t>GLOBAL</t>
        </is>
      </c>
    </row>
    <row r="5">
      <c r="A5" s="3" t="inlineStr">
        <is>
          <t>USD → INR</t>
        </is>
      </c>
      <c r="B5" s="7" t="n">
        <v>88</v>
      </c>
      <c r="F5" s="6" t="inlineStr">
        <is>
          <t>Update to the live rate before pricing decisions.</t>
        </is>
      </c>
    </row>
    <row r="6">
      <c r="A6" s="3" t="inlineStr">
        <is>
          <t>GST rate on your sale</t>
        </is>
      </c>
      <c r="B6" s="8" t="n">
        <v>0.18</v>
      </c>
      <c r="F6" s="6" t="inlineStr">
        <is>
          <t>18% SaaS GST. Plan prices below are GST-inclusive.</t>
        </is>
      </c>
    </row>
    <row r="7">
      <c r="A7" s="3" t="inlineStr">
        <is>
          <t>Payment gateway fee</t>
        </is>
      </c>
      <c r="B7" s="9" t="n">
        <v>0.0236</v>
      </c>
      <c r="F7" s="6" t="inlineStr">
        <is>
          <t>Razorpay 2% + 18% GST on the fee.</t>
        </is>
      </c>
    </row>
    <row r="8">
      <c r="A8" s="3" t="inlineStr">
        <is>
          <t>Credit value (₹ per credit)</t>
        </is>
      </c>
      <c r="B8" s="10" t="n">
        <v>1</v>
      </c>
      <c r="F8" s="6" t="inlineStr">
        <is>
          <t>1 credit = ₹1 of retail value. Keeps pricing legible.</t>
        </is>
      </c>
    </row>
    <row r="9">
      <c r="A9" s="3" t="inlineStr">
        <is>
          <t>Audio tokens per second</t>
        </is>
      </c>
      <c r="B9" s="7" t="n">
        <v>32</v>
      </c>
      <c r="F9" s="6" t="inlineStr">
        <is>
          <t>Gemini audio tokenisation rate. Drives TTS + STT cost.</t>
        </is>
      </c>
    </row>
    <row r="10">
      <c r="A10" s="3" t="inlineStr">
        <is>
          <t>Reference video length (sec)</t>
        </is>
      </c>
      <c r="B10" s="7" t="n">
        <v>45</v>
      </c>
      <c r="F10" s="6" t="inlineStr">
        <is>
          <t>Drives voiceover cost and credits.</t>
        </is>
      </c>
    </row>
    <row r="11">
      <c r="A11" s="3" t="inlineStr">
        <is>
          <t>Photos per project</t>
        </is>
      </c>
      <c r="B11" s="7" t="n">
        <v>15</v>
      </c>
      <c r="F11" s="6" t="inlineStr">
        <is>
          <t>Drives photo-analysis cost.</t>
        </is>
      </c>
    </row>
    <row r="13">
      <c r="A13" s="5" t="inlineStr">
        <is>
          <t>PROVIDER RATES  (USD per 1M tokens)</t>
        </is>
      </c>
    </row>
    <row r="14" ht="28" customHeight="1">
      <c r="A14" s="11" t="inlineStr">
        <is>
          <t>Model</t>
        </is>
      </c>
      <c r="B14" s="11" t="inlineStr">
        <is>
          <t>Text in</t>
        </is>
      </c>
      <c r="C14" s="11" t="inlineStr">
        <is>
          <t>Text out</t>
        </is>
      </c>
      <c r="D14" s="11" t="inlineStr">
        <is>
          <t>Audio in</t>
        </is>
      </c>
      <c r="E14" s="11" t="inlineStr">
        <is>
          <t>Audio out</t>
        </is>
      </c>
      <c r="F14" s="11" t="inlineStr">
        <is>
          <t>Notes</t>
        </is>
      </c>
    </row>
    <row r="15">
      <c r="A15" s="3" t="inlineStr">
        <is>
          <t>gpt-4o</t>
        </is>
      </c>
      <c r="B15" s="12" t="n">
        <v>2.5</v>
      </c>
      <c r="C15" s="12" t="n">
        <v>10</v>
      </c>
      <c r="D15" s="12" t="n">
        <v>0</v>
      </c>
      <c r="E15" s="12" t="n">
        <v>0</v>
      </c>
      <c r="F15" s="6" t="inlineStr">
        <is>
          <t>Vision images billed as input tokens (~765 tok @1024px).</t>
        </is>
      </c>
    </row>
    <row r="16">
      <c r="A16" s="3" t="inlineStr">
        <is>
          <t>gpt-4o-mini</t>
        </is>
      </c>
      <c r="B16" s="12" t="n">
        <v>0.15</v>
      </c>
      <c r="C16" s="12" t="n">
        <v>0.6</v>
      </c>
      <c r="D16" s="12" t="n">
        <v>0</v>
      </c>
      <c r="E16" s="12" t="n">
        <v>0</v>
      </c>
      <c r="F16" s="6" t="inlineStr">
        <is>
          <t>Vision uses ~2,833 tok/image but is still ~7x cheaper.</t>
        </is>
      </c>
    </row>
    <row r="17">
      <c r="A17" s="3" t="inlineStr">
        <is>
          <t>gemini-2.5-flash</t>
        </is>
      </c>
      <c r="B17" s="12" t="n">
        <v>0.3</v>
      </c>
      <c r="C17" s="12" t="n">
        <v>2.5</v>
      </c>
      <c r="D17" s="12" t="n">
        <v>1</v>
      </c>
      <c r="E17" s="12" t="n">
        <v>0</v>
      </c>
      <c r="F17" s="6" t="inlineStr">
        <is>
          <t>Text gen, TTS normalisation, and STT alignment.</t>
        </is>
      </c>
    </row>
    <row r="18">
      <c r="A18" s="3" t="inlineStr">
        <is>
          <t>gemini-tts</t>
        </is>
      </c>
      <c r="B18" s="12" t="n">
        <v>0.5</v>
      </c>
      <c r="C18" s="12" t="n">
        <v>0</v>
      </c>
      <c r="D18" s="12" t="n">
        <v>0</v>
      </c>
      <c r="E18" s="12" t="n">
        <v>10</v>
      </c>
      <c r="F18" s="6" t="inlineStr">
        <is>
          <t>gemini-3.1-flash-tts-preview — PREVIEW PRICING, VERIFY.</t>
        </is>
      </c>
    </row>
    <row r="19">
      <c r="A19" s="3" t="inlineStr">
        <is>
          <t>none</t>
        </is>
      </c>
      <c r="B19" s="12" t="n">
        <v>0</v>
      </c>
      <c r="C19" s="12" t="n">
        <v>0</v>
      </c>
      <c r="D19" s="12" t="n">
        <v>0</v>
      </c>
      <c r="E19" s="12" t="n">
        <v>0</v>
      </c>
      <c r="F19" s="6" t="inlineStr">
        <is>
          <t>For rows costed directly in USD (render, storage).</t>
        </is>
      </c>
    </row>
    <row r="21">
      <c r="A21" s="5" t="inlineStr">
        <is>
          <t>PRICING POLICY</t>
        </is>
      </c>
    </row>
    <row r="22">
      <c r="A22" s="3" t="inlineStr">
        <is>
          <t>Target markup on COGS</t>
        </is>
      </c>
      <c r="B22" s="13" t="n">
        <v>3.8</v>
      </c>
      <c r="F22" s="6" t="inlineStr">
        <is>
          <t>Credits are priced at ~3.8x underlying cost.</t>
        </is>
      </c>
    </row>
    <row r="23">
      <c r="A23" s="3" t="inlineStr">
        <is>
          <t>Expected credit burn rate</t>
        </is>
      </c>
      <c r="B23" s="8" t="n">
        <v>0.65</v>
      </c>
      <c r="F23" s="6" t="inlineStr">
        <is>
          <t>Share of granted credits actually spent in a month.</t>
        </is>
      </c>
    </row>
    <row r="24">
      <c r="A24" s="3" t="inlineStr">
        <is>
          <t>Paying users (for fixed-cost split)</t>
        </is>
      </c>
      <c r="B24" s="7" t="n">
        <v>200</v>
      </c>
      <c r="F24" s="6" t="inlineStr">
        <is>
          <t>Used on Fixed Costs and P&amp;L sheets.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1" customWidth="1" min="8" max="8"/>
    <col width="12" customWidth="1" min="9" max="9"/>
    <col width="12" customWidth="1" min="10" max="10"/>
  </cols>
  <sheetData>
    <row r="1">
      <c r="A1" s="1" t="inlineStr">
        <is>
          <t>Unit COGS — cost of every provider call</t>
        </is>
      </c>
    </row>
    <row r="2">
      <c r="A2" s="6" t="inlineStr">
        <is>
          <t>One row per API call, grouped by the user action that triggers it. Cost formulas read the rate table on Assumptions.</t>
        </is>
      </c>
    </row>
    <row r="4" ht="28" customHeight="1">
      <c r="A4" s="11" t="inlineStr">
        <is>
          <t>Action</t>
        </is>
      </c>
      <c r="B4" s="11" t="inlineStr">
        <is>
          <t>Step / call site</t>
        </is>
      </c>
      <c r="C4" s="11" t="inlineStr">
        <is>
          <t>Model</t>
        </is>
      </c>
      <c r="D4" s="11" t="inlineStr">
        <is>
          <t>Text in (tok)</t>
        </is>
      </c>
      <c r="E4" s="11" t="inlineStr">
        <is>
          <t>Text out (tok)</t>
        </is>
      </c>
      <c r="F4" s="11" t="inlineStr">
        <is>
          <t>Audio in (sec)</t>
        </is>
      </c>
      <c r="G4" s="11" t="inlineStr">
        <is>
          <t>Audio out (sec)</t>
        </is>
      </c>
      <c r="H4" s="11" t="inlineStr">
        <is>
          <t>Direct $</t>
        </is>
      </c>
      <c r="I4" s="11" t="inlineStr">
        <is>
          <t>USD</t>
        </is>
      </c>
      <c r="J4" s="11" t="inlineStr">
        <is>
          <t>INR</t>
        </is>
      </c>
    </row>
    <row r="5">
      <c r="A5" s="3" t="inlineStr">
        <is>
          <t>Extract facts</t>
        </is>
      </c>
      <c r="B5" s="4" t="inlineStr">
        <is>
          <t>extract-facts.ts</t>
        </is>
      </c>
      <c r="C5" s="4" t="inlineStr">
        <is>
          <t>gpt-4o</t>
        </is>
      </c>
      <c r="D5" s="14" t="n">
        <v>1200</v>
      </c>
      <c r="E5" s="14" t="n">
        <v>400</v>
      </c>
      <c r="F5" s="14" t="n">
        <v>0</v>
      </c>
      <c r="G5" s="14" t="n">
        <v>0</v>
      </c>
      <c r="H5" s="15" t="n">
        <v>0</v>
      </c>
      <c r="I5" s="15">
        <f>(D5*VLOOKUP($C5,Assumptions!$A$15:$E$19,2,FALSE)+E5*VLOOKUP($C5,Assumptions!$A$15:$E$19,3,FALSE)+F5*Assumptions!$B$9*VLOOKUP($C5,Assumptions!$A$15:$E$19,4,FALSE)+G5*Assumptions!$B$9*VLOOKUP($C5,Assumptions!$A$15:$E$19,5,FALSE))/1000000+H5</f>
        <v/>
      </c>
      <c r="J5" s="16">
        <f>I5*Assumptions!$B$5</f>
        <v/>
      </c>
    </row>
    <row r="6">
      <c r="A6" s="3" t="inlineStr">
        <is>
          <t>Script pack</t>
        </is>
      </c>
      <c r="B6" s="4" t="inlineStr">
        <is>
          <t>generate-script — 3 variations</t>
        </is>
      </c>
      <c r="C6" s="4" t="inlineStr">
        <is>
          <t>gemini-2.5-flash</t>
        </is>
      </c>
      <c r="D6" s="14" t="n">
        <v>3900</v>
      </c>
      <c r="E6" s="14" t="n">
        <v>660</v>
      </c>
      <c r="F6" s="14" t="n">
        <v>0</v>
      </c>
      <c r="G6" s="14" t="n">
        <v>0</v>
      </c>
      <c r="H6" s="15" t="n">
        <v>0</v>
      </c>
      <c r="I6" s="15">
        <f>(D6*VLOOKUP($C6,Assumptions!$A$15:$E$19,2,FALSE)+E6*VLOOKUP($C6,Assumptions!$A$15:$E$19,3,FALSE)+F6*Assumptions!$B$9*VLOOKUP($C6,Assumptions!$A$15:$E$19,4,FALSE)+G6*Assumptions!$B$9*VLOOKUP($C6,Assumptions!$A$15:$E$19,5,FALSE))/1000000+H6</f>
        <v/>
      </c>
      <c r="J6" s="16">
        <f>I6*Assumptions!$B$5</f>
        <v/>
      </c>
    </row>
    <row r="7">
      <c r="A7" s="3" t="inlineStr">
        <is>
          <t>Refine script</t>
        </is>
      </c>
      <c r="B7" s="4" t="inlineStr">
        <is>
          <t>refine-script</t>
        </is>
      </c>
      <c r="C7" s="4" t="inlineStr">
        <is>
          <t>gemini-2.5-flash</t>
        </is>
      </c>
      <c r="D7" s="14" t="n">
        <v>1500</v>
      </c>
      <c r="E7" s="14" t="n">
        <v>250</v>
      </c>
      <c r="F7" s="14" t="n">
        <v>0</v>
      </c>
      <c r="G7" s="14" t="n">
        <v>0</v>
      </c>
      <c r="H7" s="15" t="n">
        <v>0</v>
      </c>
      <c r="I7" s="15">
        <f>(D7*VLOOKUP($C7,Assumptions!$A$15:$E$19,2,FALSE)+E7*VLOOKUP($C7,Assumptions!$A$15:$E$19,3,FALSE)+F7*Assumptions!$B$9*VLOOKUP($C7,Assumptions!$A$15:$E$19,4,FALSE)+G7*Assumptions!$B$9*VLOOKUP($C7,Assumptions!$A$15:$E$19,5,FALSE))/1000000+H7</f>
        <v/>
      </c>
      <c r="J7" s="16">
        <f>I7*Assumptions!$B$5</f>
        <v/>
      </c>
    </row>
    <row r="8">
      <c r="A8" s="3" t="inlineStr">
        <is>
          <t>Photo analysis</t>
        </is>
      </c>
      <c r="B8" s="4" t="inlineStr">
        <is>
          <t>analyze-image.ts — vision, per image</t>
        </is>
      </c>
      <c r="C8" s="4" t="inlineStr">
        <is>
          <t>gpt-4o</t>
        </is>
      </c>
      <c r="D8" s="14" t="n">
        <v>965</v>
      </c>
      <c r="E8" s="14" t="n">
        <v>150</v>
      </c>
      <c r="F8" s="14" t="n">
        <v>0</v>
      </c>
      <c r="G8" s="14" t="n">
        <v>0</v>
      </c>
      <c r="H8" s="15" t="n">
        <v>0</v>
      </c>
      <c r="I8" s="15">
        <f>(D8*VLOOKUP($C8,Assumptions!$A$15:$E$19,2,FALSE)+E8*VLOOKUP($C8,Assumptions!$A$15:$E$19,3,FALSE)+F8*Assumptions!$B$9*VLOOKUP($C8,Assumptions!$A$15:$E$19,4,FALSE)+G8*Assumptions!$B$9*VLOOKUP($C8,Assumptions!$A$15:$E$19,5,FALSE))/1000000+H8</f>
        <v/>
      </c>
      <c r="J8" s="16">
        <f>I8*Assumptions!$B$5</f>
        <v/>
      </c>
    </row>
    <row r="9">
      <c r="A9" s="3" t="inlineStr">
        <is>
          <t>Voiceover</t>
        </is>
      </c>
      <c r="B9" s="4" t="inlineStr">
        <is>
          <t>Normalisation ×2 (non-English path)</t>
        </is>
      </c>
      <c r="C9" s="4" t="inlineStr">
        <is>
          <t>gemini-2.5-flash</t>
        </is>
      </c>
      <c r="D9" s="14" t="n">
        <v>1400</v>
      </c>
      <c r="E9" s="14" t="n">
        <v>500</v>
      </c>
      <c r="F9" s="14" t="n">
        <v>0</v>
      </c>
      <c r="G9" s="14" t="n">
        <v>0</v>
      </c>
      <c r="H9" s="15" t="n">
        <v>0</v>
      </c>
      <c r="I9" s="15">
        <f>(D9*VLOOKUP($C9,Assumptions!$A$15:$E$19,2,FALSE)+E9*VLOOKUP($C9,Assumptions!$A$15:$E$19,3,FALSE)+F9*Assumptions!$B$9*VLOOKUP($C9,Assumptions!$A$15:$E$19,4,FALSE)+G9*Assumptions!$B$9*VLOOKUP($C9,Assumptions!$A$15:$E$19,5,FALSE))/1000000+H9</f>
        <v/>
      </c>
      <c r="J9" s="16">
        <f>I9*Assumptions!$B$5</f>
        <v/>
      </c>
    </row>
    <row r="10">
      <c r="A10" s="3" t="inlineStr">
        <is>
          <t>Voiceover</t>
        </is>
      </c>
      <c r="B10" s="4" t="inlineStr">
        <is>
          <t>Gemini TTS synthesis</t>
        </is>
      </c>
      <c r="C10" s="4" t="inlineStr">
        <is>
          <t>gemini-tts</t>
        </is>
      </c>
      <c r="D10" s="14" t="n">
        <v>450</v>
      </c>
      <c r="E10" s="14" t="n">
        <v>0</v>
      </c>
      <c r="F10" s="14" t="n">
        <v>0</v>
      </c>
      <c r="G10" s="14">
        <f>Assumptions!$B$10</f>
        <v/>
      </c>
      <c r="H10" s="15" t="n">
        <v>0</v>
      </c>
      <c r="I10" s="15">
        <f>(D10*VLOOKUP($C10,Assumptions!$A$15:$E$19,2,FALSE)+E10*VLOOKUP($C10,Assumptions!$A$15:$E$19,3,FALSE)+F10*Assumptions!$B$9*VLOOKUP($C10,Assumptions!$A$15:$E$19,4,FALSE)+G10*Assumptions!$B$9*VLOOKUP($C10,Assumptions!$A$15:$E$19,5,FALSE))/1000000+H10</f>
        <v/>
      </c>
      <c r="J10" s="16">
        <f>I10*Assumptions!$B$5</f>
        <v/>
      </c>
    </row>
    <row r="11">
      <c r="A11" s="3" t="inlineStr">
        <is>
          <t>Voiceover</t>
        </is>
      </c>
      <c r="B11" s="4" t="inlineStr">
        <is>
          <t>STT word alignment</t>
        </is>
      </c>
      <c r="C11" s="4" t="inlineStr">
        <is>
          <t>gemini-2.5-flash</t>
        </is>
      </c>
      <c r="D11" s="14" t="n">
        <v>600</v>
      </c>
      <c r="E11" s="14" t="n">
        <v>700</v>
      </c>
      <c r="F11" s="14">
        <f>Assumptions!$B$10</f>
        <v/>
      </c>
      <c r="G11" s="14" t="n">
        <v>0</v>
      </c>
      <c r="H11" s="15" t="n">
        <v>0</v>
      </c>
      <c r="I11" s="15">
        <f>(D11*VLOOKUP($C11,Assumptions!$A$15:$E$19,2,FALSE)+E11*VLOOKUP($C11,Assumptions!$A$15:$E$19,3,FALSE)+F11*Assumptions!$B$9*VLOOKUP($C11,Assumptions!$A$15:$E$19,4,FALSE)+G11*Assumptions!$B$9*VLOOKUP($C11,Assumptions!$A$15:$E$19,5,FALSE))/1000000+H11</f>
        <v/>
      </c>
      <c r="J11" s="16">
        <f>I11*Assumptions!$B$5</f>
        <v/>
      </c>
    </row>
    <row r="12">
      <c r="A12" s="3" t="inlineStr">
        <is>
          <t>Voice preview</t>
        </is>
      </c>
      <c r="B12" s="4" t="inlineStr">
        <is>
          <t>10s sample, TTS only</t>
        </is>
      </c>
      <c r="C12" s="4" t="inlineStr">
        <is>
          <t>gemini-tts</t>
        </is>
      </c>
      <c r="D12" s="14" t="n">
        <v>200</v>
      </c>
      <c r="E12" s="14" t="n">
        <v>0</v>
      </c>
      <c r="F12" s="14" t="n">
        <v>0</v>
      </c>
      <c r="G12" s="14" t="n">
        <v>10</v>
      </c>
      <c r="H12" s="15" t="n">
        <v>0</v>
      </c>
      <c r="I12" s="15">
        <f>(D12*VLOOKUP($C12,Assumptions!$A$15:$E$19,2,FALSE)+E12*VLOOKUP($C12,Assumptions!$A$15:$E$19,3,FALSE)+F12*Assumptions!$B$9*VLOOKUP($C12,Assumptions!$A$15:$E$19,4,FALSE)+G12*Assumptions!$B$9*VLOOKUP($C12,Assumptions!$A$15:$E$19,5,FALSE))/1000000+H12</f>
        <v/>
      </c>
      <c r="J12" s="16">
        <f>I12*Assumptions!$B$5</f>
        <v/>
      </c>
    </row>
    <row r="13">
      <c r="A13" s="3" t="inlineStr">
        <is>
          <t>Subtitle re-align</t>
        </is>
      </c>
      <c r="B13" s="4" t="inlineStr">
        <is>
          <t>STT only, no new audio</t>
        </is>
      </c>
      <c r="C13" s="4" t="inlineStr">
        <is>
          <t>gemini-2.5-flash</t>
        </is>
      </c>
      <c r="D13" s="14" t="n">
        <v>600</v>
      </c>
      <c r="E13" s="14" t="n">
        <v>700</v>
      </c>
      <c r="F13" s="14">
        <f>Assumptions!$B$10</f>
        <v/>
      </c>
      <c r="G13" s="14" t="n">
        <v>0</v>
      </c>
      <c r="H13" s="15" t="n">
        <v>0</v>
      </c>
      <c r="I13" s="15">
        <f>(D13*VLOOKUP($C13,Assumptions!$A$15:$E$19,2,FALSE)+E13*VLOOKUP($C13,Assumptions!$A$15:$E$19,3,FALSE)+F13*Assumptions!$B$9*VLOOKUP($C13,Assumptions!$A$15:$E$19,4,FALSE)+G13*Assumptions!$B$9*VLOOKUP($C13,Assumptions!$A$15:$E$19,5,FALSE))/1000000+H13</f>
        <v/>
      </c>
      <c r="J13" s="16">
        <f>I13*Assumptions!$B$5</f>
        <v/>
      </c>
    </row>
    <row r="14">
      <c r="A14" s="3" t="inlineStr">
        <is>
          <t>Subtitle translate</t>
        </is>
      </c>
      <c r="B14" s="4" t="inlineStr">
        <is>
          <t>subtitles/translate</t>
        </is>
      </c>
      <c r="C14" s="4" t="inlineStr">
        <is>
          <t>gpt-4o</t>
        </is>
      </c>
      <c r="D14" s="14" t="n">
        <v>1500</v>
      </c>
      <c r="E14" s="14" t="n">
        <v>900</v>
      </c>
      <c r="F14" s="14" t="n">
        <v>0</v>
      </c>
      <c r="G14" s="14" t="n">
        <v>0</v>
      </c>
      <c r="H14" s="15" t="n">
        <v>0</v>
      </c>
      <c r="I14" s="15">
        <f>(D14*VLOOKUP($C14,Assumptions!$A$15:$E$19,2,FALSE)+E14*VLOOKUP($C14,Assumptions!$A$15:$E$19,3,FALSE)+F14*Assumptions!$B$9*VLOOKUP($C14,Assumptions!$A$15:$E$19,4,FALSE)+G14*Assumptions!$B$9*VLOOKUP($C14,Assumptions!$A$15:$E$19,5,FALSE))/1000000+H14</f>
        <v/>
      </c>
      <c r="J14" s="16">
        <f>I14*Assumptions!$B$5</f>
        <v/>
      </c>
    </row>
    <row r="15">
      <c r="A15" s="3" t="inlineStr">
        <is>
          <t>AI auto-edit</t>
        </is>
      </c>
      <c r="B15" s="4" t="inlineStr">
        <is>
          <t>timeline/generate — generate-ai.ts</t>
        </is>
      </c>
      <c r="C15" s="4" t="inlineStr">
        <is>
          <t>gpt-4o</t>
        </is>
      </c>
      <c r="D15" s="14" t="n">
        <v>3000</v>
      </c>
      <c r="E15" s="14" t="n">
        <v>2000</v>
      </c>
      <c r="F15" s="14" t="n">
        <v>0</v>
      </c>
      <c r="G15" s="14" t="n">
        <v>0</v>
      </c>
      <c r="H15" s="15" t="n">
        <v>0</v>
      </c>
      <c r="I15" s="15">
        <f>(D15*VLOOKUP($C15,Assumptions!$A$15:$E$19,2,FALSE)+E15*VLOOKUP($C15,Assumptions!$A$15:$E$19,3,FALSE)+F15*Assumptions!$B$9*VLOOKUP($C15,Assumptions!$A$15:$E$19,4,FALSE)+G15*Assumptions!$B$9*VLOOKUP($C15,Assumptions!$A$15:$E$19,5,FALSE))/1000000+H15</f>
        <v/>
      </c>
      <c r="J15" s="16">
        <f>I15*Assumptions!$B$5</f>
        <v/>
      </c>
    </row>
    <row r="16">
      <c r="A16" s="3" t="inlineStr">
        <is>
          <t>Social captions</t>
        </is>
      </c>
      <c r="B16" s="4" t="inlineStr">
        <is>
          <t>generate-social + titles</t>
        </is>
      </c>
      <c r="C16" s="4" t="inlineStr">
        <is>
          <t>gpt-4o</t>
        </is>
      </c>
      <c r="D16" s="14" t="n">
        <v>1200</v>
      </c>
      <c r="E16" s="14" t="n">
        <v>500</v>
      </c>
      <c r="F16" s="14" t="n">
        <v>0</v>
      </c>
      <c r="G16" s="14" t="n">
        <v>0</v>
      </c>
      <c r="H16" s="15" t="n">
        <v>0</v>
      </c>
      <c r="I16" s="15">
        <f>(D16*VLOOKUP($C16,Assumptions!$A$15:$E$19,2,FALSE)+E16*VLOOKUP($C16,Assumptions!$A$15:$E$19,3,FALSE)+F16*Assumptions!$B$9*VLOOKUP($C16,Assumptions!$A$15:$E$19,4,FALSE)+G16*Assumptions!$B$9*VLOOKUP($C16,Assumptions!$A$15:$E$19,5,FALSE))/1000000+H16</f>
        <v/>
      </c>
      <c r="J16" s="16">
        <f>I16*Assumptions!$B$5</f>
        <v/>
      </c>
    </row>
    <row r="17">
      <c r="A17" s="3" t="inlineStr">
        <is>
          <t>Web export</t>
        </is>
      </c>
      <c r="B17" s="4" t="inlineStr">
        <is>
          <t>Remotion/FFmpeg render worker</t>
        </is>
      </c>
      <c r="C17" s="4" t="inlineStr">
        <is>
          <t>none</t>
        </is>
      </c>
      <c r="D17" s="14" t="n">
        <v>0</v>
      </c>
      <c r="E17" s="14" t="n">
        <v>0</v>
      </c>
      <c r="F17" s="14" t="n">
        <v>0</v>
      </c>
      <c r="G17" s="14" t="n">
        <v>0</v>
      </c>
      <c r="H17" s="15" t="n">
        <v>0.013636</v>
      </c>
      <c r="I17" s="15">
        <f>(D17*VLOOKUP($C17,Assumptions!$A$15:$E$19,2,FALSE)+E17*VLOOKUP($C17,Assumptions!$A$15:$E$19,3,FALSE)+F17*Assumptions!$B$9*VLOOKUP($C17,Assumptions!$A$15:$E$19,4,FALSE)+G17*Assumptions!$B$9*VLOOKUP($C17,Assumptions!$A$15:$E$19,5,FALSE))/1000000+H17</f>
        <v/>
      </c>
      <c r="J17" s="16">
        <f>I17*Assumptions!$B$5</f>
        <v/>
      </c>
    </row>
    <row r="18">
      <c r="A18" s="3" t="inlineStr">
        <is>
          <t>Storage</t>
        </is>
      </c>
      <c r="B18" s="4" t="inlineStr">
        <is>
          <t>R2, ~75MB, 6-month retention</t>
        </is>
      </c>
      <c r="C18" s="4" t="inlineStr">
        <is>
          <t>none</t>
        </is>
      </c>
      <c r="D18" s="14" t="n">
        <v>0</v>
      </c>
      <c r="E18" s="14" t="n">
        <v>0</v>
      </c>
      <c r="F18" s="14" t="n">
        <v>0</v>
      </c>
      <c r="G18" s="14" t="n">
        <v>0</v>
      </c>
      <c r="H18" s="15" t="n">
        <v>0.011364</v>
      </c>
      <c r="I18" s="15">
        <f>(D18*VLOOKUP($C18,Assumptions!$A$15:$E$19,2,FALSE)+E18*VLOOKUP($C18,Assumptions!$A$15:$E$19,3,FALSE)+F18*Assumptions!$B$9*VLOOKUP($C18,Assumptions!$A$15:$E$19,4,FALSE)+G18*Assumptions!$B$9*VLOOKUP($C18,Assumptions!$A$15:$E$19,5,FALSE))/1000000+H18</f>
        <v/>
      </c>
      <c r="J18" s="16">
        <f>I18*Assumptions!$B$5</f>
        <v/>
      </c>
    </row>
    <row r="19">
      <c r="A19" s="3" t="inlineStr">
        <is>
          <t>Photo analysis (4o-mini alt)</t>
        </is>
      </c>
      <c r="B19" s="4" t="inlineStr">
        <is>
          <t>Same call on gpt-4o-mini — comparison only</t>
        </is>
      </c>
      <c r="C19" s="4" t="inlineStr">
        <is>
          <t>gpt-4o-mini</t>
        </is>
      </c>
      <c r="D19" s="14" t="n">
        <v>3033</v>
      </c>
      <c r="E19" s="14" t="n">
        <v>150</v>
      </c>
      <c r="F19" s="14" t="n">
        <v>0</v>
      </c>
      <c r="G19" s="14" t="n">
        <v>0</v>
      </c>
      <c r="H19" s="15" t="n">
        <v>0</v>
      </c>
      <c r="I19" s="15">
        <f>(D19*VLOOKUP($C19,Assumptions!$A$15:$E$19,2,FALSE)+E19*VLOOKUP($C19,Assumptions!$A$15:$E$19,3,FALSE)+F19*Assumptions!$B$9*VLOOKUP($C19,Assumptions!$A$15:$E$19,4,FALSE)+G19*Assumptions!$B$9*VLOOKUP($C19,Assumptions!$A$15:$E$19,5,FALSE))/1000000+H19</f>
        <v/>
      </c>
      <c r="J19" s="16">
        <f>I19*Assumptions!$B$5</f>
        <v/>
      </c>
    </row>
    <row r="21">
      <c r="A21" s="5" t="inlineStr">
        <is>
          <t>COST PER USER ACTION  (sum of its calls)</t>
        </is>
      </c>
    </row>
    <row r="22" ht="28" customHeight="1">
      <c r="A22" s="11" t="inlineStr">
        <is>
          <t>Action</t>
        </is>
      </c>
      <c r="B22" s="11" t="inlineStr">
        <is>
          <t>INR</t>
        </is>
      </c>
      <c r="C22" s="11" t="inlineStr"/>
      <c r="D22" s="11" t="inlineStr"/>
      <c r="E22" s="11" t="inlineStr"/>
      <c r="F22" s="11" t="inlineStr"/>
      <c r="G22" s="11" t="inlineStr"/>
      <c r="H22" s="11" t="inlineStr"/>
      <c r="I22" s="11" t="inlineStr"/>
      <c r="J22" s="11" t="inlineStr"/>
    </row>
    <row r="23">
      <c r="A23" s="3" t="inlineStr">
        <is>
          <t>Extract facts</t>
        </is>
      </c>
      <c r="B23" s="16">
        <f>SUMIF($A$5:$A$19,A23,$J$5:$J$19)</f>
        <v/>
      </c>
    </row>
    <row r="24">
      <c r="A24" s="3" t="inlineStr">
        <is>
          <t>Script pack</t>
        </is>
      </c>
      <c r="B24" s="16">
        <f>SUMIF($A$5:$A$19,A24,$J$5:$J$19)</f>
        <v/>
      </c>
    </row>
    <row r="25">
      <c r="A25" s="3" t="inlineStr">
        <is>
          <t>Refine script</t>
        </is>
      </c>
      <c r="B25" s="16">
        <f>SUMIF($A$5:$A$19,A25,$J$5:$J$19)</f>
        <v/>
      </c>
    </row>
    <row r="26">
      <c r="A26" s="3" t="inlineStr">
        <is>
          <t>Photo analysis</t>
        </is>
      </c>
      <c r="B26" s="16">
        <f>SUMIF($A$5:$A$19,A26,$J$5:$J$19)</f>
        <v/>
      </c>
    </row>
    <row r="27">
      <c r="A27" s="3" t="inlineStr">
        <is>
          <t>Voiceover</t>
        </is>
      </c>
      <c r="B27" s="16">
        <f>SUMIF($A$5:$A$19,A27,$J$5:$J$19)</f>
        <v/>
      </c>
    </row>
    <row r="28">
      <c r="A28" s="3" t="inlineStr">
        <is>
          <t>Voice preview</t>
        </is>
      </c>
      <c r="B28" s="16">
        <f>SUMIF($A$5:$A$19,A28,$J$5:$J$19)</f>
        <v/>
      </c>
    </row>
    <row r="29">
      <c r="A29" s="3" t="inlineStr">
        <is>
          <t>Subtitle re-align</t>
        </is>
      </c>
      <c r="B29" s="16">
        <f>SUMIF($A$5:$A$19,A29,$J$5:$J$19)</f>
        <v/>
      </c>
    </row>
    <row r="30">
      <c r="A30" s="3" t="inlineStr">
        <is>
          <t>Subtitle translate</t>
        </is>
      </c>
      <c r="B30" s="16">
        <f>SUMIF($A$5:$A$19,A30,$J$5:$J$19)</f>
        <v/>
      </c>
    </row>
    <row r="31">
      <c r="A31" s="3" t="inlineStr">
        <is>
          <t>AI auto-edit</t>
        </is>
      </c>
      <c r="B31" s="16">
        <f>SUMIF($A$5:$A$19,A31,$J$5:$J$19)</f>
        <v/>
      </c>
    </row>
    <row r="32">
      <c r="A32" s="3" t="inlineStr">
        <is>
          <t>Social captions</t>
        </is>
      </c>
      <c r="B32" s="16">
        <f>SUMIF($A$5:$A$19,A32,$J$5:$J$19)</f>
        <v/>
      </c>
    </row>
    <row r="33">
      <c r="A33" s="3" t="inlineStr">
        <is>
          <t>Web export</t>
        </is>
      </c>
      <c r="B33" s="16">
        <f>SUMIF($A$5:$A$19,A33,$J$5:$J$19)</f>
        <v/>
      </c>
    </row>
    <row r="34">
      <c r="A34" s="3" t="inlineStr">
        <is>
          <t>Storage</t>
        </is>
      </c>
      <c r="B34" s="16">
        <f>SUMIF($A$5:$A$19,A34,$J$5:$J$19)</f>
        <v/>
      </c>
    </row>
    <row r="35">
      <c r="A35" s="3" t="inlineStr">
        <is>
          <t>Photo analysis (4o-mini alt)</t>
        </is>
      </c>
      <c r="B35" s="16">
        <f>SUMIF($A$5:$A$19,A35,$J$5:$J$19)</f>
        <v/>
      </c>
    </row>
    <row r="37">
      <c r="A37" s="6" t="inlineStr">
        <is>
          <t>Voiceover scales with duration — at the reference length it is ~74% TTS audio output, 17% alignment, 9% normalisation.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4" customWidth="1" min="4" max="4"/>
    <col width="16" customWidth="1" min="5" max="5"/>
    <col width="14" customWidth="1" min="6" max="6"/>
    <col width="13" customWidth="1" min="7" max="7"/>
    <col width="17" customWidth="1" min="8" max="8"/>
  </cols>
  <sheetData>
    <row r="1">
      <c r="A1" s="1" t="inlineStr">
        <is>
          <t>Cost of one finished video</t>
        </is>
      </c>
    </row>
    <row r="2">
      <c r="A2" s="6" t="inlineStr">
        <is>
          <t>First pass = everything generated once. Realistic = the back-and-forth users actually do.</t>
        </is>
      </c>
    </row>
    <row r="4" ht="28" customHeight="1">
      <c r="A4" s="11" t="inlineStr">
        <is>
          <t>Line item</t>
        </is>
      </c>
      <c r="B4" s="11" t="inlineStr">
        <is>
          <t>Unit COGS ₹</t>
        </is>
      </c>
      <c r="C4" s="11" t="inlineStr">
        <is>
          <t>Qty (first pass)</t>
        </is>
      </c>
      <c r="D4" s="11" t="inlineStr">
        <is>
          <t>First pass ₹</t>
        </is>
      </c>
      <c r="E4" s="11" t="inlineStr">
        <is>
          <t>Qty (realistic)</t>
        </is>
      </c>
      <c r="F4" s="11" t="inlineStr">
        <is>
          <t>Realistic ₹</t>
        </is>
      </c>
      <c r="G4" s="11" t="inlineStr">
        <is>
          <t>Credits each</t>
        </is>
      </c>
      <c r="H4" s="11" t="inlineStr">
        <is>
          <t>Credits (realistic)</t>
        </is>
      </c>
    </row>
    <row r="5">
      <c r="A5" s="3" t="inlineStr">
        <is>
          <t>Extract facts</t>
        </is>
      </c>
      <c r="B5" s="16">
        <f>VLOOKUP(A5,'Unit COGS'!$A$23:$B$35,2,FALSE)</f>
        <v/>
      </c>
      <c r="C5" s="7" t="n">
        <v>1</v>
      </c>
      <c r="D5" s="16">
        <f>B5*C5</f>
        <v/>
      </c>
      <c r="E5" s="7" t="n">
        <v>1</v>
      </c>
      <c r="F5" s="16">
        <f>B5*E5</f>
        <v/>
      </c>
      <c r="G5" s="14">
        <f>VLOOKUP(A5,Credits!$A$5:$C$17,3,FALSE)</f>
        <v/>
      </c>
      <c r="H5" s="14">
        <f>E5*G5</f>
        <v/>
      </c>
    </row>
    <row r="6">
      <c r="A6" s="3" t="inlineStr">
        <is>
          <t>Script pack</t>
        </is>
      </c>
      <c r="B6" s="16">
        <f>VLOOKUP(A6,'Unit COGS'!$A$23:$B$35,2,FALSE)</f>
        <v/>
      </c>
      <c r="C6" s="7" t="n">
        <v>1</v>
      </c>
      <c r="D6" s="16">
        <f>B6*C6</f>
        <v/>
      </c>
      <c r="E6" s="7" t="n">
        <v>2</v>
      </c>
      <c r="F6" s="16">
        <f>B6*E6</f>
        <v/>
      </c>
      <c r="G6" s="14">
        <f>VLOOKUP(A6,Credits!$A$5:$C$17,3,FALSE)</f>
        <v/>
      </c>
      <c r="H6" s="14">
        <f>E6*G6</f>
        <v/>
      </c>
    </row>
    <row r="7">
      <c r="A7" s="3" t="inlineStr">
        <is>
          <t>Refine script</t>
        </is>
      </c>
      <c r="B7" s="16">
        <f>VLOOKUP(A7,'Unit COGS'!$A$23:$B$35,2,FALSE)</f>
        <v/>
      </c>
      <c r="C7" s="7" t="n">
        <v>0</v>
      </c>
      <c r="D7" s="16">
        <f>B7*C7</f>
        <v/>
      </c>
      <c r="E7" s="7" t="n">
        <v>1</v>
      </c>
      <c r="F7" s="16">
        <f>B7*E7</f>
        <v/>
      </c>
      <c r="G7" s="14">
        <f>VLOOKUP(A7,Credits!$A$5:$C$17,3,FALSE)</f>
        <v/>
      </c>
      <c r="H7" s="14">
        <f>E7*G7</f>
        <v/>
      </c>
    </row>
    <row r="8">
      <c r="A8" s="3" t="inlineStr">
        <is>
          <t>Photo analysis</t>
        </is>
      </c>
      <c r="B8" s="16">
        <f>VLOOKUP(A8,'Unit COGS'!$A$23:$B$35,2,FALSE)</f>
        <v/>
      </c>
      <c r="C8" s="7">
        <f>Assumptions!$B$11</f>
        <v/>
      </c>
      <c r="D8" s="16">
        <f>B8*C8</f>
        <v/>
      </c>
      <c r="E8" s="7">
        <f>Assumptions!$B$11</f>
        <v/>
      </c>
      <c r="F8" s="16">
        <f>B8*E8</f>
        <v/>
      </c>
      <c r="G8" s="14">
        <f>VLOOKUP(A8,Credits!$A$5:$C$17,3,FALSE)</f>
        <v/>
      </c>
      <c r="H8" s="14">
        <f>E8*G8</f>
        <v/>
      </c>
    </row>
    <row r="9">
      <c r="A9" s="3" t="inlineStr">
        <is>
          <t>Voice preview</t>
        </is>
      </c>
      <c r="B9" s="16">
        <f>VLOOKUP(A9,'Unit COGS'!$A$23:$B$35,2,FALSE)</f>
        <v/>
      </c>
      <c r="C9" s="7" t="n">
        <v>0</v>
      </c>
      <c r="D9" s="16">
        <f>B9*C9</f>
        <v/>
      </c>
      <c r="E9" s="7" t="n">
        <v>3</v>
      </c>
      <c r="F9" s="16">
        <f>B9*E9</f>
        <v/>
      </c>
      <c r="G9" s="14">
        <f>VLOOKUP(A9,Credits!$A$5:$C$17,3,FALSE)</f>
        <v/>
      </c>
      <c r="H9" s="14">
        <f>E9*G9</f>
        <v/>
      </c>
    </row>
    <row r="10">
      <c r="A10" s="3" t="inlineStr">
        <is>
          <t>Voiceover</t>
        </is>
      </c>
      <c r="B10" s="16">
        <f>VLOOKUP(A10,'Unit COGS'!$A$23:$B$35,2,FALSE)</f>
        <v/>
      </c>
      <c r="C10" s="7" t="n">
        <v>1</v>
      </c>
      <c r="D10" s="16">
        <f>B10*C10</f>
        <v/>
      </c>
      <c r="E10" s="7" t="n">
        <v>2</v>
      </c>
      <c r="F10" s="16">
        <f>B10*E10</f>
        <v/>
      </c>
      <c r="G10" s="14">
        <f>VLOOKUP(A10,Credits!$A$5:$C$17,3,FALSE)</f>
        <v/>
      </c>
      <c r="H10" s="14">
        <f>E10*G10</f>
        <v/>
      </c>
    </row>
    <row r="11">
      <c r="A11" s="3" t="inlineStr">
        <is>
          <t>AI auto-edit</t>
        </is>
      </c>
      <c r="B11" s="16">
        <f>VLOOKUP(A11,'Unit COGS'!$A$23:$B$35,2,FALSE)</f>
        <v/>
      </c>
      <c r="C11" s="7" t="n">
        <v>1</v>
      </c>
      <c r="D11" s="16">
        <f>B11*C11</f>
        <v/>
      </c>
      <c r="E11" s="7" t="n">
        <v>1</v>
      </c>
      <c r="F11" s="16">
        <f>B11*E11</f>
        <v/>
      </c>
      <c r="G11" s="14">
        <f>VLOOKUP(A11,Credits!$A$5:$C$17,3,FALSE)</f>
        <v/>
      </c>
      <c r="H11" s="14">
        <f>E11*G11</f>
        <v/>
      </c>
    </row>
    <row r="12">
      <c r="A12" s="3" t="inlineStr">
        <is>
          <t>Subtitle re-align</t>
        </is>
      </c>
      <c r="B12" s="16">
        <f>VLOOKUP(A12,'Unit COGS'!$A$23:$B$35,2,FALSE)</f>
        <v/>
      </c>
      <c r="C12" s="7" t="n">
        <v>0</v>
      </c>
      <c r="D12" s="16">
        <f>B12*C12</f>
        <v/>
      </c>
      <c r="E12" s="7" t="n">
        <v>1</v>
      </c>
      <c r="F12" s="16">
        <f>B12*E12</f>
        <v/>
      </c>
      <c r="G12" s="14">
        <f>VLOOKUP(A12,Credits!$A$5:$C$17,3,FALSE)</f>
        <v/>
      </c>
      <c r="H12" s="14">
        <f>E12*G12</f>
        <v/>
      </c>
    </row>
    <row r="13">
      <c r="A13" s="3" t="inlineStr">
        <is>
          <t>Social captions</t>
        </is>
      </c>
      <c r="B13" s="16">
        <f>VLOOKUP(A13,'Unit COGS'!$A$23:$B$35,2,FALSE)</f>
        <v/>
      </c>
      <c r="C13" s="7" t="n">
        <v>1</v>
      </c>
      <c r="D13" s="16">
        <f>B13*C13</f>
        <v/>
      </c>
      <c r="E13" s="7" t="n">
        <v>1</v>
      </c>
      <c r="F13" s="16">
        <f>B13*E13</f>
        <v/>
      </c>
      <c r="G13" s="14">
        <f>VLOOKUP(A13,Credits!$A$5:$C$17,3,FALSE)</f>
        <v/>
      </c>
      <c r="H13" s="14">
        <f>E13*G13</f>
        <v/>
      </c>
    </row>
    <row r="14">
      <c r="A14" s="3" t="inlineStr">
        <is>
          <t>Web export</t>
        </is>
      </c>
      <c r="B14" s="16">
        <f>VLOOKUP(A14,'Unit COGS'!$A$23:$B$35,2,FALSE)</f>
        <v/>
      </c>
      <c r="C14" s="7" t="n">
        <v>1</v>
      </c>
      <c r="D14" s="16">
        <f>B14*C14</f>
        <v/>
      </c>
      <c r="E14" s="7" t="n">
        <v>2</v>
      </c>
      <c r="F14" s="16">
        <f>B14*E14</f>
        <v/>
      </c>
      <c r="G14" s="14">
        <f>VLOOKUP(A14,Credits!$A$5:$C$17,3,FALSE)</f>
        <v/>
      </c>
      <c r="H14" s="14">
        <f>E14*G14</f>
        <v/>
      </c>
    </row>
    <row r="15">
      <c r="A15" s="3" t="inlineStr">
        <is>
          <t>Storage</t>
        </is>
      </c>
      <c r="B15" s="16">
        <f>VLOOKUP(A15,'Unit COGS'!$A$23:$B$35,2,FALSE)</f>
        <v/>
      </c>
      <c r="C15" s="7" t="n">
        <v>1</v>
      </c>
      <c r="D15" s="16">
        <f>B15*C15</f>
        <v/>
      </c>
      <c r="E15" s="7" t="n">
        <v>1</v>
      </c>
      <c r="F15" s="16">
        <f>B15*E15</f>
        <v/>
      </c>
      <c r="G15" s="14">
        <f>VLOOKUP(A15,Credits!$A$5:$C$17,3,FALSE)</f>
        <v/>
      </c>
      <c r="H15" s="14">
        <f>E15*G15</f>
        <v/>
      </c>
    </row>
    <row r="16">
      <c r="A16" s="17" t="inlineStr">
        <is>
          <t>TOTAL</t>
        </is>
      </c>
      <c r="B16" s="18" t="inlineStr"/>
      <c r="C16" s="18" t="inlineStr"/>
      <c r="D16" s="19">
        <f>SUM(D5:D15)</f>
        <v/>
      </c>
      <c r="E16" s="18" t="inlineStr"/>
      <c r="F16" s="19">
        <f>SUM(F5:F15)</f>
        <v/>
      </c>
      <c r="G16" s="18" t="inlineStr"/>
      <c r="H16" s="20">
        <f>SUM(H5:H15)</f>
        <v/>
      </c>
    </row>
    <row r="18">
      <c r="A18" s="21" t="inlineStr">
        <is>
          <t>Credits for a clean first-pass video</t>
        </is>
      </c>
      <c r="B18" s="22">
        <f>SUMPRODUCT($C$5:$C$15,$G$5:$G$15)</f>
        <v/>
      </c>
    </row>
    <row r="19">
      <c r="A19" s="21" t="inlineStr">
        <is>
          <t>COGS per credit (drives plan margins)</t>
        </is>
      </c>
      <c r="B19" s="23">
        <f>'Per Video'!$D$16/'Per Video'!$B$18</f>
        <v/>
      </c>
    </row>
    <row r="20">
      <c r="A20" s="21" t="inlineStr">
        <is>
          <t>Effective markup on a full video</t>
        </is>
      </c>
      <c r="B20" s="24">
        <f>'Per Video'!$B$18*Assumptions!$B$8/'Per Video'!$D$16</f>
        <v/>
      </c>
    </row>
    <row r="22">
      <c r="A22" s="6" t="inlineStr">
        <is>
          <t>Photo analysis on GPT-4o vision is the single largest line. See the Optimisations sheet.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13" customWidth="1" min="4" max="4"/>
    <col width="12" customWidth="1" min="5" max="5"/>
    <col width="12" customWidth="1" min="6" max="6"/>
    <col width="44" customWidth="1" min="7" max="7"/>
  </cols>
  <sheetData>
    <row r="1">
      <c r="A1" s="1" t="inlineStr">
        <is>
          <t>Credit price list</t>
        </is>
      </c>
    </row>
    <row r="2">
      <c r="A2" s="6" t="inlineStr">
        <is>
          <t>What each action costs the user. Credits are set at roughly the target markup over COGS.</t>
        </is>
      </c>
    </row>
    <row r="4" ht="28" customHeight="1">
      <c r="A4" s="11" t="inlineStr">
        <is>
          <t>Action</t>
        </is>
      </c>
      <c r="B4" s="11" t="inlineStr">
        <is>
          <t>COGS ₹</t>
        </is>
      </c>
      <c r="C4" s="11" t="inlineStr">
        <is>
          <t>Credits</t>
        </is>
      </c>
      <c r="D4" s="11" t="inlineStr">
        <is>
          <t>Retail ₹</t>
        </is>
      </c>
      <c r="E4" s="11" t="inlineStr">
        <is>
          <t>Multiple</t>
        </is>
      </c>
      <c r="F4" s="11" t="inlineStr">
        <is>
          <t>Margin %</t>
        </is>
      </c>
      <c r="G4" s="11" t="inlineStr">
        <is>
          <t>Basis</t>
        </is>
      </c>
    </row>
    <row r="5">
      <c r="A5" s="3" t="inlineStr">
        <is>
          <t>Extract facts</t>
        </is>
      </c>
      <c r="B5" s="16">
        <f>VLOOKUP(A5,'Unit COGS'!$A$23:$B$35,2,FALSE)</f>
        <v/>
      </c>
      <c r="C5" s="7" t="n">
        <v>2</v>
      </c>
      <c r="D5" s="16">
        <f>C5*Assumptions!$B$8</f>
        <v/>
      </c>
      <c r="E5" s="25">
        <f>IF(B5=0,"—",D5/B5)</f>
        <v/>
      </c>
      <c r="F5" s="26">
        <f>IF(D5=0,"—",(D5-B5)/D5)</f>
        <v/>
      </c>
      <c r="G5" s="27" t="inlineStr">
        <is>
          <t>Flat.</t>
        </is>
      </c>
    </row>
    <row r="6">
      <c r="A6" s="3" t="inlineStr">
        <is>
          <t>Script pack</t>
        </is>
      </c>
      <c r="B6" s="16">
        <f>VLOOKUP(A6,'Unit COGS'!$A$23:$B$35,2,FALSE)</f>
        <v/>
      </c>
      <c r="C6" s="7" t="n">
        <v>4</v>
      </c>
      <c r="D6" s="16">
        <f>C6*Assumptions!$B$8</f>
        <v/>
      </c>
      <c r="E6" s="25">
        <f>IF(B6=0,"—",D6/B6)</f>
        <v/>
      </c>
      <c r="F6" s="26">
        <f>IF(D6=0,"—",(D6-B6)/D6)</f>
        <v/>
      </c>
      <c r="G6" s="27" t="inlineStr">
        <is>
          <t>Three variations in one click.</t>
        </is>
      </c>
    </row>
    <row r="7">
      <c r="A7" s="3" t="inlineStr">
        <is>
          <t>Refine script</t>
        </is>
      </c>
      <c r="B7" s="16">
        <f>VLOOKUP(A7,'Unit COGS'!$A$23:$B$35,2,FALSE)</f>
        <v/>
      </c>
      <c r="C7" s="7" t="n">
        <v>1</v>
      </c>
      <c r="D7" s="16">
        <f>C7*Assumptions!$B$8</f>
        <v/>
      </c>
      <c r="E7" s="25">
        <f>IF(B7=0,"—",D7/B7)</f>
        <v/>
      </c>
      <c r="F7" s="26">
        <f>IF(D7=0,"—",(D7-B7)/D7)</f>
        <v/>
      </c>
      <c r="G7" s="27" t="inlineStr">
        <is>
          <t>Per rewrite.</t>
        </is>
      </c>
    </row>
    <row r="8">
      <c r="A8" s="3" t="inlineStr">
        <is>
          <t>Photo analysis</t>
        </is>
      </c>
      <c r="B8" s="16">
        <f>VLOOKUP(A8,'Unit COGS'!$A$23:$B$35,2,FALSE)</f>
        <v/>
      </c>
      <c r="C8" s="7" t="n">
        <v>1</v>
      </c>
      <c r="D8" s="16">
        <f>C8*Assumptions!$B$8</f>
        <v/>
      </c>
      <c r="E8" s="25">
        <f>IF(B8=0,"—",D8/B8)</f>
        <v/>
      </c>
      <c r="F8" s="26">
        <f>IF(D8=0,"—",(D8-B8)/D8)</f>
        <v/>
      </c>
      <c r="G8" s="27" t="inlineStr">
        <is>
          <t>Per photo. Consider free if you move to 4o-mini.</t>
        </is>
      </c>
    </row>
    <row r="9">
      <c r="A9" s="3" t="inlineStr">
        <is>
          <t>Voiceover</t>
        </is>
      </c>
      <c r="B9" s="16">
        <f>VLOOKUP(A9,'Unit COGS'!$A$23:$B$35,2,FALSE)</f>
        <v/>
      </c>
      <c r="C9" s="7">
        <f>ROUNDUP(Assumptions!$B$10/15,0)*3</f>
        <v/>
      </c>
      <c r="D9" s="16">
        <f>C9*Assumptions!$B$8</f>
        <v/>
      </c>
      <c r="E9" s="25">
        <f>IF(B9=0,"—",D9/B9)</f>
        <v/>
      </c>
      <c r="F9" s="26">
        <f>IF(D9=0,"—",(D9-B9)/D9)</f>
        <v/>
      </c>
      <c r="G9" s="27" t="inlineStr">
        <is>
          <t>3 credits per 15s — scales with script length.</t>
        </is>
      </c>
    </row>
    <row r="10">
      <c r="A10" s="3" t="inlineStr">
        <is>
          <t>Voice preview</t>
        </is>
      </c>
      <c r="B10" s="16">
        <f>VLOOKUP(A10,'Unit COGS'!$A$23:$B$35,2,FALSE)</f>
        <v/>
      </c>
      <c r="C10" s="7" t="n">
        <v>1</v>
      </c>
      <c r="D10" s="16">
        <f>C10*Assumptions!$B$8</f>
        <v/>
      </c>
      <c r="E10" s="25">
        <f>IF(B10=0,"—",D10/B10)</f>
        <v/>
      </c>
      <c r="F10" s="26">
        <f>IF(D10=0,"—",(D10-B10)/D10)</f>
        <v/>
      </c>
      <c r="G10" s="27" t="inlineStr">
        <is>
          <t>Per sample.</t>
        </is>
      </c>
    </row>
    <row r="11">
      <c r="A11" s="3" t="inlineStr">
        <is>
          <t>Subtitle re-align</t>
        </is>
      </c>
      <c r="B11" s="16">
        <f>VLOOKUP(A11,'Unit COGS'!$A$23:$B$35,2,FALSE)</f>
        <v/>
      </c>
      <c r="C11" s="7" t="n">
        <v>1</v>
      </c>
      <c r="D11" s="16">
        <f>C11*Assumptions!$B$8</f>
        <v/>
      </c>
      <c r="E11" s="25">
        <f>IF(B11=0,"—",D11/B11)</f>
        <v/>
      </c>
      <c r="F11" s="26">
        <f>IF(D11=0,"—",(D11-B11)/D11)</f>
        <v/>
      </c>
      <c r="G11" s="27" t="inlineStr">
        <is>
          <t>Re-sync only, no new audio.</t>
        </is>
      </c>
    </row>
    <row r="12">
      <c r="A12" s="3" t="inlineStr">
        <is>
          <t>Subtitle translate</t>
        </is>
      </c>
      <c r="B12" s="16">
        <f>VLOOKUP(A12,'Unit COGS'!$A$23:$B$35,2,FALSE)</f>
        <v/>
      </c>
      <c r="C12" s="7" t="n">
        <v>4</v>
      </c>
      <c r="D12" s="16">
        <f>C12*Assumptions!$B$8</f>
        <v/>
      </c>
      <c r="E12" s="25">
        <f>IF(B12=0,"—",D12/B12)</f>
        <v/>
      </c>
      <c r="F12" s="26">
        <f>IF(D12=0,"—",(D12-B12)/D12)</f>
        <v/>
      </c>
      <c r="G12" s="27" t="inlineStr">
        <is>
          <t>Per target language.</t>
        </is>
      </c>
    </row>
    <row r="13">
      <c r="A13" s="3" t="inlineStr">
        <is>
          <t>AI auto-edit</t>
        </is>
      </c>
      <c r="B13" s="16">
        <f>VLOOKUP(A13,'Unit COGS'!$A$23:$B$35,2,FALSE)</f>
        <v/>
      </c>
      <c r="C13" s="7" t="n">
        <v>10</v>
      </c>
      <c r="D13" s="16">
        <f>C13*Assumptions!$B$8</f>
        <v/>
      </c>
      <c r="E13" s="25">
        <f>IF(B13=0,"—",D13/B13)</f>
        <v/>
      </c>
      <c r="F13" s="26">
        <f>IF(D13=0,"—",(D13-B13)/D13)</f>
        <v/>
      </c>
      <c r="G13" s="27" t="inlineStr">
        <is>
          <t>Builds the whole timeline.</t>
        </is>
      </c>
    </row>
    <row r="14">
      <c r="A14" s="3" t="inlineStr">
        <is>
          <t>Social captions</t>
        </is>
      </c>
      <c r="B14" s="16">
        <f>VLOOKUP(A14,'Unit COGS'!$A$23:$B$35,2,FALSE)</f>
        <v/>
      </c>
      <c r="C14" s="7" t="n">
        <v>2</v>
      </c>
      <c r="D14" s="16">
        <f>C14*Assumptions!$B$8</f>
        <v/>
      </c>
      <c r="E14" s="25">
        <f>IF(B14=0,"—",D14/B14)</f>
        <v/>
      </c>
      <c r="F14" s="26">
        <f>IF(D14=0,"—",(D14-B14)/D14)</f>
        <v/>
      </c>
      <c r="G14" s="27" t="inlineStr">
        <is>
          <t>IG + FB + WhatsApp pack.</t>
        </is>
      </c>
    </row>
    <row r="15">
      <c r="A15" s="3" t="inlineStr">
        <is>
          <t>Web export</t>
        </is>
      </c>
      <c r="B15" s="16">
        <f>VLOOKUP(A15,'Unit COGS'!$A$23:$B$35,2,FALSE)</f>
        <v/>
      </c>
      <c r="C15" s="7" t="n">
        <v>8</v>
      </c>
      <c r="D15" s="16">
        <f>C15*Assumptions!$B$8</f>
        <v/>
      </c>
      <c r="E15" s="25">
        <f>IF(B15=0,"—",D15/B15)</f>
        <v/>
      </c>
      <c r="F15" s="26">
        <f>IF(D15=0,"—",(D15-B15)/D15)</f>
        <v/>
      </c>
      <c r="G15" s="27" t="inlineStr">
        <is>
          <t>1080p up to 60s. +4 per extra 30s.</t>
        </is>
      </c>
    </row>
    <row r="16">
      <c r="A16" s="3" t="inlineStr">
        <is>
          <t>Storage</t>
        </is>
      </c>
      <c r="B16" s="16">
        <f>VLOOKUP(A16,'Unit COGS'!$A$23:$B$35,2,FALSE)</f>
        <v/>
      </c>
      <c r="C16" s="7" t="n">
        <v>0</v>
      </c>
      <c r="D16" s="16">
        <f>C16*Assumptions!$B$8</f>
        <v/>
      </c>
      <c r="E16" s="25">
        <f>IF(B16=0,"—",D16/B16)</f>
        <v/>
      </c>
      <c r="F16" s="26">
        <f>IF(D16=0,"—",(D16-B16)/D16)</f>
        <v/>
      </c>
      <c r="G16" s="27" t="inlineStr">
        <is>
          <t>Absorbed — never billed separately.</t>
        </is>
      </c>
    </row>
    <row r="17">
      <c r="A17" s="3" t="inlineStr">
        <is>
          <t>Desktop export</t>
        </is>
      </c>
      <c r="B17" s="16" t="n">
        <v>0</v>
      </c>
      <c r="C17" s="7" t="n">
        <v>0</v>
      </c>
      <c r="D17" s="16">
        <f>C17*Assumptions!$B$8</f>
        <v/>
      </c>
      <c r="E17" s="25">
        <f>IF(B17=0,"—",D17/B17)</f>
        <v/>
      </c>
      <c r="F17" s="26">
        <f>IF(D17=0,"—",(D17-B17)/D17)</f>
        <v/>
      </c>
      <c r="G17" s="27" t="inlineStr">
        <is>
          <t>Renders on the user's own GPU. Costs you nothing.</t>
        </is>
      </c>
    </row>
    <row r="19">
      <c r="A19" s="5" t="inlineStr">
        <is>
          <t>FREE — never metered</t>
        </is>
      </c>
    </row>
    <row r="20">
      <c r="A20" s="28" t="inlineStr">
        <is>
          <t>Uploading photos and video</t>
        </is>
      </c>
    </row>
    <row r="21">
      <c r="A21" s="28" t="inlineStr">
        <is>
          <t>Every timeline edit: trim, transitions, text overlays, Ken Burns</t>
        </is>
      </c>
    </row>
    <row r="22">
      <c r="A22" s="28" t="inlineStr">
        <is>
          <t>Playback, preview and scrubbing</t>
        </is>
      </c>
    </row>
    <row r="23">
      <c r="A23" s="28" t="inlineStr">
        <is>
          <t>Saving and autosave</t>
        </is>
      </c>
    </row>
    <row r="24">
      <c r="A24" s="28" t="inlineStr">
        <is>
          <t>Kannada transliteration typing</t>
        </is>
      </c>
    </row>
    <row r="25">
      <c r="A25" s="28" t="inlineStr">
        <is>
          <t>Font and sound-effect search</t>
        </is>
      </c>
    </row>
    <row r="26">
      <c r="A26" s="28" t="inlineStr">
        <is>
          <t>Brand kit</t>
        </is>
      </c>
    </row>
    <row r="27">
      <c r="A27" s="28" t="inlineStr">
        <is>
          <t>Duplicating a project</t>
        </is>
      </c>
    </row>
    <row r="28">
      <c r="A28" s="28" t="inlineStr">
        <is>
          <t>Re-downloading a video you already exported</t>
        </is>
      </c>
    </row>
    <row r="29">
      <c r="A29" s="28" t="inlineStr">
        <is>
          <t>Publishing to social</t>
        </is>
      </c>
    </row>
    <row r="30">
      <c r="A30" s="28" t="inlineStr">
        <is>
          <t>Any action that fails — refunded automatically</t>
        </is>
      </c>
    </row>
    <row r="31">
      <c r="A31" s="28" t="inlineStr">
        <is>
          <t>Regenerating an identical script + voice + style (served from cache)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1" customWidth="1" min="3" max="3"/>
    <col width="15" customWidth="1" min="4" max="4"/>
    <col width="16" customWidth="1" min="5" max="5"/>
    <col width="15" customWidth="1" min="6" max="6"/>
    <col width="13" customWidth="1" min="7" max="7"/>
    <col width="13" customWidth="1" min="8" max="8"/>
    <col width="17" customWidth="1" min="9" max="9"/>
    <col width="13" customWidth="1" min="10" max="10"/>
    <col width="20" customWidth="1" min="11" max="11"/>
    <col width="18" customWidth="1" min="12" max="12"/>
  </cols>
  <sheetData>
    <row r="1">
      <c r="A1" s="1" t="inlineStr">
        <is>
          <t>Plans and margins</t>
        </is>
      </c>
    </row>
    <row r="2">
      <c r="A2" s="6" t="inlineStr">
        <is>
          <t>Prices are GST-inclusive. Margin shown at 100% credit burn and at the expected burn rate.</t>
        </is>
      </c>
    </row>
    <row r="4" ht="28" customHeight="1">
      <c r="A4" s="11" t="inlineStr">
        <is>
          <t>Plan</t>
        </is>
      </c>
      <c r="B4" s="11" t="inlineStr">
        <is>
          <t>₹ / month</t>
        </is>
      </c>
      <c r="C4" s="11" t="inlineStr">
        <is>
          <t>Credits</t>
        </is>
      </c>
      <c r="D4" s="11" t="inlineStr">
        <is>
          <t>Videos (clean run)</t>
        </is>
      </c>
      <c r="E4" s="11" t="inlineStr">
        <is>
          <t>Videos (with rework)</t>
        </is>
      </c>
      <c r="F4" s="11" t="inlineStr">
        <is>
          <t>Ex-GST revenue</t>
        </is>
      </c>
      <c r="G4" s="11" t="inlineStr">
        <is>
          <t>Gateway fee</t>
        </is>
      </c>
      <c r="H4" s="11" t="inlineStr">
        <is>
          <t>Net revenue</t>
        </is>
      </c>
      <c r="I4" s="11" t="inlineStr">
        <is>
          <t>COGS @100% burn</t>
        </is>
      </c>
      <c r="J4" s="11" t="inlineStr">
        <is>
          <t>Margin @100%</t>
        </is>
      </c>
      <c r="K4" s="11" t="inlineStr">
        <is>
          <t>COGS @ expected burn</t>
        </is>
      </c>
      <c r="L4" s="11" t="inlineStr">
        <is>
          <t>Margin @ expected</t>
        </is>
      </c>
    </row>
    <row r="5">
      <c r="A5" s="3" t="inlineStr">
        <is>
          <t>Free</t>
        </is>
      </c>
      <c r="B5" s="29" t="n">
        <v>0</v>
      </c>
      <c r="C5" s="7" t="n">
        <v>60</v>
      </c>
      <c r="D5" s="30">
        <f>C5/'Per Video'!$B$18</f>
        <v/>
      </c>
      <c r="E5" s="30">
        <f>C5/'Per Video'!$H$16</f>
        <v/>
      </c>
      <c r="F5" s="31">
        <f>B5/(1+Assumptions!$B$6)</f>
        <v/>
      </c>
      <c r="G5" s="31">
        <f>B5*Assumptions!$B$7</f>
        <v/>
      </c>
      <c r="H5" s="31">
        <f>F5-G5</f>
        <v/>
      </c>
      <c r="I5" s="31">
        <f>C5*'Per Video'!$B$19</f>
        <v/>
      </c>
      <c r="J5" s="26">
        <f>IF(H5=0,"—",(H5-I5)/H5)</f>
        <v/>
      </c>
      <c r="K5" s="31">
        <f>C5*'Per Video'!$B$19*Assumptions!$B$23</f>
        <v/>
      </c>
      <c r="L5" s="26">
        <f>IF(H5=0,"—",(H5-K5)/H5)</f>
        <v/>
      </c>
    </row>
    <row r="6">
      <c r="A6" s="3" t="inlineStr">
        <is>
          <t>Starter</t>
        </is>
      </c>
      <c r="B6" s="29" t="n">
        <v>599</v>
      </c>
      <c r="C6" s="7" t="n">
        <v>500</v>
      </c>
      <c r="D6" s="30">
        <f>C6/'Per Video'!$B$18</f>
        <v/>
      </c>
      <c r="E6" s="30">
        <f>C6/'Per Video'!$H$16</f>
        <v/>
      </c>
      <c r="F6" s="31">
        <f>B6/(1+Assumptions!$B$6)</f>
        <v/>
      </c>
      <c r="G6" s="31">
        <f>B6*Assumptions!$B$7</f>
        <v/>
      </c>
      <c r="H6" s="31">
        <f>F6-G6</f>
        <v/>
      </c>
      <c r="I6" s="31">
        <f>C6*'Per Video'!$B$19</f>
        <v/>
      </c>
      <c r="J6" s="26">
        <f>IF(H6=0,"—",(H6-I6)/H6)</f>
        <v/>
      </c>
      <c r="K6" s="31">
        <f>C6*'Per Video'!$B$19*Assumptions!$B$23</f>
        <v/>
      </c>
      <c r="L6" s="26">
        <f>IF(H6=0,"—",(H6-K6)/H6)</f>
        <v/>
      </c>
    </row>
    <row r="7">
      <c r="A7" s="3" t="inlineStr">
        <is>
          <t>Pro</t>
        </is>
      </c>
      <c r="B7" s="29" t="n">
        <v>1499</v>
      </c>
      <c r="C7" s="7" t="n">
        <v>1600</v>
      </c>
      <c r="D7" s="30">
        <f>C7/'Per Video'!$B$18</f>
        <v/>
      </c>
      <c r="E7" s="30">
        <f>C7/'Per Video'!$H$16</f>
        <v/>
      </c>
      <c r="F7" s="31">
        <f>B7/(1+Assumptions!$B$6)</f>
        <v/>
      </c>
      <c r="G7" s="31">
        <f>B7*Assumptions!$B$7</f>
        <v/>
      </c>
      <c r="H7" s="31">
        <f>F7-G7</f>
        <v/>
      </c>
      <c r="I7" s="31">
        <f>C7*'Per Video'!$B$19</f>
        <v/>
      </c>
      <c r="J7" s="26">
        <f>IF(H7=0,"—",(H7-I7)/H7)</f>
        <v/>
      </c>
      <c r="K7" s="31">
        <f>C7*'Per Video'!$B$19*Assumptions!$B$23</f>
        <v/>
      </c>
      <c r="L7" s="26">
        <f>IF(H7=0,"—",(H7-K7)/H7)</f>
        <v/>
      </c>
    </row>
    <row r="8">
      <c r="A8" s="3" t="inlineStr">
        <is>
          <t>Studio</t>
        </is>
      </c>
      <c r="B8" s="29" t="n">
        <v>3999</v>
      </c>
      <c r="C8" s="7" t="n">
        <v>5000</v>
      </c>
      <c r="D8" s="30">
        <f>C8/'Per Video'!$B$18</f>
        <v/>
      </c>
      <c r="E8" s="30">
        <f>C8/'Per Video'!$H$16</f>
        <v/>
      </c>
      <c r="F8" s="31">
        <f>B8/(1+Assumptions!$B$6)</f>
        <v/>
      </c>
      <c r="G8" s="31">
        <f>B8*Assumptions!$B$7</f>
        <v/>
      </c>
      <c r="H8" s="31">
        <f>F8-G8</f>
        <v/>
      </c>
      <c r="I8" s="31">
        <f>C8*'Per Video'!$B$19</f>
        <v/>
      </c>
      <c r="J8" s="26">
        <f>IF(H8=0,"—",(H8-I8)/H8)</f>
        <v/>
      </c>
      <c r="K8" s="31">
        <f>C8*'Per Video'!$B$19*Assumptions!$B$23</f>
        <v/>
      </c>
      <c r="L8" s="26">
        <f>IF(H8=0,"—",(H8-K8)/H8)</f>
        <v/>
      </c>
    </row>
    <row r="10">
      <c r="A10" s="5" t="inlineStr">
        <is>
          <t>TOP-UPS (credits never expire; monthly credits do)</t>
        </is>
      </c>
    </row>
    <row r="11" ht="28" customHeight="1">
      <c r="A11" s="11" t="inlineStr">
        <is>
          <t>Pack</t>
        </is>
      </c>
      <c r="B11" s="11" t="inlineStr">
        <is>
          <t>₹</t>
        </is>
      </c>
      <c r="C11" s="11" t="inlineStr">
        <is>
          <t>Credits</t>
        </is>
      </c>
      <c r="D11" s="11" t="inlineStr"/>
      <c r="E11" s="11" t="inlineStr">
        <is>
          <t>Ex-GST revenue</t>
        </is>
      </c>
      <c r="F11" s="11" t="inlineStr">
        <is>
          <t>Gateway fee</t>
        </is>
      </c>
      <c r="G11" s="11" t="inlineStr">
        <is>
          <t>Net revenue</t>
        </is>
      </c>
      <c r="H11" s="11" t="inlineStr">
        <is>
          <t>COGS @100%</t>
        </is>
      </c>
      <c r="I11" s="11" t="inlineStr">
        <is>
          <t>Margin @100%</t>
        </is>
      </c>
    </row>
    <row r="12">
      <c r="A12" s="3" t="inlineStr">
        <is>
          <t>Small</t>
        </is>
      </c>
      <c r="B12" s="29" t="n">
        <v>299</v>
      </c>
      <c r="C12" s="7" t="n">
        <v>250</v>
      </c>
      <c r="D12" s="4" t="inlineStr"/>
      <c r="E12" s="31">
        <f>B12/(1+Assumptions!$B$6)</f>
        <v/>
      </c>
      <c r="F12" s="31">
        <f>B12*Assumptions!$B$7</f>
        <v/>
      </c>
      <c r="G12" s="31">
        <f>E12-F12</f>
        <v/>
      </c>
      <c r="H12" s="31">
        <f>C12*'Per Video'!$B$19</f>
        <v/>
      </c>
      <c r="I12" s="26">
        <f>(G12-H12)/G12</f>
        <v/>
      </c>
    </row>
    <row r="13">
      <c r="A13" s="3" t="inlineStr">
        <is>
          <t>Large</t>
        </is>
      </c>
      <c r="B13" s="29" t="n">
        <v>799</v>
      </c>
      <c r="C13" s="7" t="n">
        <v>750</v>
      </c>
      <c r="D13" s="4" t="inlineStr"/>
      <c r="E13" s="31">
        <f>B13/(1+Assumptions!$B$6)</f>
        <v/>
      </c>
      <c r="F13" s="31">
        <f>B13*Assumptions!$B$7</f>
        <v/>
      </c>
      <c r="G13" s="31">
        <f>E13-F13</f>
        <v/>
      </c>
      <c r="H13" s="31">
        <f>C13*'Per Video'!$B$19</f>
        <v/>
      </c>
      <c r="I13" s="26">
        <f>(G13-H13)/G13</f>
        <v/>
      </c>
    </row>
    <row r="16">
      <c r="A16" s="6" t="inlineStr">
        <is>
          <t>Annual pricing = 10 months (two free): ₹5,990 / ₹14,990 / ₹39,990.</t>
        </is>
      </c>
    </row>
    <row r="17">
      <c r="A17" s="6" t="inlineStr">
        <is>
          <t>Free plan is an acquisition cost, not a loss to fix — cap it at 720p with a watermark.</t>
        </is>
      </c>
    </row>
    <row r="18">
      <c r="A18" s="6" t="inlineStr">
        <is>
          <t>Every paid tier includes unlimited desktop exports — zero marginal cost, and no browser competitor can match it.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14" customWidth="1" min="3" max="3"/>
    <col width="14" customWidth="1" min="4" max="4"/>
  </cols>
  <sheetData>
    <row r="1">
      <c r="A1" s="1" t="inlineStr">
        <is>
          <t>Fixed monthly infrastructure</t>
        </is>
      </c>
    </row>
    <row r="2">
      <c r="A2" s="6" t="inlineStr">
        <is>
          <t>Sized for ~500 monthly active users / ~200 paying.</t>
        </is>
      </c>
    </row>
    <row r="4" ht="28" customHeight="1">
      <c r="A4" s="11" t="inlineStr">
        <is>
          <t>Service</t>
        </is>
      </c>
      <c r="B4" s="11" t="inlineStr">
        <is>
          <t>Purpose</t>
        </is>
      </c>
      <c r="C4" s="11" t="inlineStr">
        <is>
          <t>USD / month</t>
        </is>
      </c>
      <c r="D4" s="11" t="inlineStr">
        <is>
          <t>INR / month</t>
        </is>
      </c>
    </row>
    <row r="5">
      <c r="A5" s="3" t="inlineStr">
        <is>
          <t>Vercel Pro</t>
        </is>
      </c>
      <c r="B5" s="27" t="inlineStr">
        <is>
          <t>Next.js hosting</t>
        </is>
      </c>
      <c r="C5" s="32" t="n">
        <v>20</v>
      </c>
      <c r="D5" s="31">
        <f>C5*Assumptions!$B$5</f>
        <v/>
      </c>
    </row>
    <row r="6">
      <c r="A6" s="3" t="inlineStr">
        <is>
          <t>Supabase Pro</t>
        </is>
      </c>
      <c r="B6" s="27" t="inlineStr">
        <is>
          <t>Postgres, backups, connection pooling</t>
        </is>
      </c>
      <c r="C6" s="32" t="n">
        <v>25</v>
      </c>
      <c r="D6" s="31">
        <f>C6*Assumptions!$B$5</f>
        <v/>
      </c>
    </row>
    <row r="7">
      <c r="A7" s="3" t="inlineStr">
        <is>
          <t>Clerk</t>
        </is>
      </c>
      <c r="B7" s="27" t="inlineStr">
        <is>
          <t>Auth — free below 10k MAU, then $25</t>
        </is>
      </c>
      <c r="C7" s="32" t="n">
        <v>0</v>
      </c>
      <c r="D7" s="31">
        <f>C7*Assumptions!$B$5</f>
        <v/>
      </c>
    </row>
    <row r="8">
      <c r="A8" s="3" t="inlineStr">
        <is>
          <t>Redis (Railway/Upstash)</t>
        </is>
      </c>
      <c r="B8" s="27" t="inlineStr">
        <is>
          <t>Job queue for exports</t>
        </is>
      </c>
      <c r="C8" s="32" t="n">
        <v>10</v>
      </c>
      <c r="D8" s="31">
        <f>C8*Assumptions!$B$5</f>
        <v/>
      </c>
    </row>
    <row r="9">
      <c r="A9" s="3" t="inlineStr">
        <is>
          <t>Render worker</t>
        </is>
      </c>
      <c r="B9" s="27" t="inlineStr">
        <is>
          <t>4 vCPU dedicated box for Remotion/FFmpeg</t>
        </is>
      </c>
      <c r="C9" s="32" t="n">
        <v>40</v>
      </c>
      <c r="D9" s="31">
        <f>C9*Assumptions!$B$5</f>
        <v/>
      </c>
    </row>
    <row r="10">
      <c r="A10" s="3" t="inlineStr">
        <is>
          <t>Cloudflare R2</t>
        </is>
      </c>
      <c r="B10" s="27" t="inlineStr">
        <is>
          <t>Media + export storage, free egress</t>
        </is>
      </c>
      <c r="C10" s="32" t="n">
        <v>5</v>
      </c>
      <c r="D10" s="31">
        <f>C10*Assumptions!$B$5</f>
        <v/>
      </c>
    </row>
    <row r="11">
      <c r="A11" s="3" t="inlineStr">
        <is>
          <t>Domain, email, monitoring</t>
        </is>
      </c>
      <c r="B11" s="27" t="inlineStr">
        <is>
          <t>Sentry, Resend, DNS</t>
        </is>
      </c>
      <c r="C11" s="32" t="n">
        <v>15</v>
      </c>
      <c r="D11" s="31">
        <f>C11*Assumptions!$B$5</f>
        <v/>
      </c>
    </row>
    <row r="12">
      <c r="A12" s="17" t="inlineStr">
        <is>
          <t>TOTAL</t>
        </is>
      </c>
      <c r="B12" s="18" t="inlineStr"/>
      <c r="C12" s="33">
        <f>SUM(C5:C11)</f>
        <v/>
      </c>
      <c r="D12" s="34">
        <f>SUM(D5:D11)</f>
        <v/>
      </c>
    </row>
    <row r="14">
      <c r="A14" s="21" t="inlineStr">
        <is>
          <t>Fixed cost per paying user</t>
        </is>
      </c>
      <c r="B14" s="23">
        <f>'Fixed Costs'!$D$12/Assumptions!$B$24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3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Monthly P&amp;L scenario</t>
        </is>
      </c>
    </row>
    <row r="2">
      <c r="A2" s="6" t="inlineStr">
        <is>
          <t>Change the user counts (yellow) to model any mix.</t>
        </is>
      </c>
    </row>
    <row r="4" ht="28" customHeight="1">
      <c r="A4" s="11" t="inlineStr">
        <is>
          <t>Plan</t>
        </is>
      </c>
      <c r="B4" s="11" t="inlineStr">
        <is>
          <t>Users</t>
        </is>
      </c>
      <c r="C4" s="11" t="inlineStr">
        <is>
          <t>₹ / month</t>
        </is>
      </c>
      <c r="D4" s="11" t="inlineStr">
        <is>
          <t>Gross revenue</t>
        </is>
      </c>
      <c r="E4" s="11" t="inlineStr">
        <is>
          <t>Net revenue</t>
        </is>
      </c>
      <c r="F4" s="11" t="inlineStr">
        <is>
          <t>Credit COGS</t>
        </is>
      </c>
      <c r="G4" s="11" t="inlineStr">
        <is>
          <t>Contribution</t>
        </is>
      </c>
    </row>
    <row r="5">
      <c r="A5" s="3" t="inlineStr">
        <is>
          <t>Free</t>
        </is>
      </c>
      <c r="B5" s="7" t="n">
        <v>400</v>
      </c>
      <c r="C5" s="31">
        <f>Plans!B5</f>
        <v/>
      </c>
      <c r="D5" s="31">
        <f>B5*C5</f>
        <v/>
      </c>
      <c r="E5" s="31">
        <f>B5*Plans!H5</f>
        <v/>
      </c>
      <c r="F5" s="31">
        <f>B5*Plans!K5</f>
        <v/>
      </c>
      <c r="G5" s="31">
        <f>E5-F5</f>
        <v/>
      </c>
    </row>
    <row r="6">
      <c r="A6" s="3" t="inlineStr">
        <is>
          <t>Starter</t>
        </is>
      </c>
      <c r="B6" s="7" t="n">
        <v>120</v>
      </c>
      <c r="C6" s="31">
        <f>Plans!B6</f>
        <v/>
      </c>
      <c r="D6" s="31">
        <f>B6*C6</f>
        <v/>
      </c>
      <c r="E6" s="31">
        <f>B6*Plans!H6</f>
        <v/>
      </c>
      <c r="F6" s="31">
        <f>B6*Plans!K6</f>
        <v/>
      </c>
      <c r="G6" s="31">
        <f>E6-F6</f>
        <v/>
      </c>
    </row>
    <row r="7">
      <c r="A7" s="3" t="inlineStr">
        <is>
          <t>Pro</t>
        </is>
      </c>
      <c r="B7" s="7" t="n">
        <v>65</v>
      </c>
      <c r="C7" s="31">
        <f>Plans!B7</f>
        <v/>
      </c>
      <c r="D7" s="31">
        <f>B7*C7</f>
        <v/>
      </c>
      <c r="E7" s="31">
        <f>B7*Plans!H7</f>
        <v/>
      </c>
      <c r="F7" s="31">
        <f>B7*Plans!K7</f>
        <v/>
      </c>
      <c r="G7" s="31">
        <f>E7-F7</f>
        <v/>
      </c>
    </row>
    <row r="8">
      <c r="A8" s="3" t="inlineStr">
        <is>
          <t>Studio</t>
        </is>
      </c>
      <c r="B8" s="7" t="n">
        <v>15</v>
      </c>
      <c r="C8" s="31">
        <f>Plans!B8</f>
        <v/>
      </c>
      <c r="D8" s="31">
        <f>B8*C8</f>
        <v/>
      </c>
      <c r="E8" s="31">
        <f>B8*Plans!H8</f>
        <v/>
      </c>
      <c r="F8" s="31">
        <f>B8*Plans!K8</f>
        <v/>
      </c>
      <c r="G8" s="31">
        <f>E8-F8</f>
        <v/>
      </c>
    </row>
    <row r="9">
      <c r="A9" s="17" t="inlineStr">
        <is>
          <t>TOTAL</t>
        </is>
      </c>
      <c r="B9" s="20">
        <f>SUM(B5:B8)</f>
        <v/>
      </c>
      <c r="C9" s="34">
        <f>SUM(C5:C8)</f>
        <v/>
      </c>
      <c r="D9" s="34">
        <f>SUM(D5:D8)</f>
        <v/>
      </c>
      <c r="E9" s="34">
        <f>SUM(E5:E8)</f>
        <v/>
      </c>
      <c r="F9" s="34">
        <f>SUM(F5:F8)</f>
        <v/>
      </c>
      <c r="G9" s="34">
        <f>SUM(G5:G8)</f>
        <v/>
      </c>
    </row>
    <row r="11">
      <c r="A11" s="21" t="inlineStr">
        <is>
          <t>Gross contribution</t>
        </is>
      </c>
      <c r="B11" s="35">
        <f>'P&amp;L'!$G$9</f>
        <v/>
      </c>
    </row>
    <row r="12">
      <c r="A12" s="21" t="inlineStr">
        <is>
          <t>Fixed infrastructure</t>
        </is>
      </c>
      <c r="B12" s="35">
        <f>-'Fixed Costs'!$D$12</f>
        <v/>
      </c>
    </row>
    <row r="13">
      <c r="A13" s="21" t="inlineStr">
        <is>
          <t>Monthly profit</t>
        </is>
      </c>
      <c r="B13" s="35">
        <f>'P&amp;L'!$G$9-'Fixed Costs'!$D$12</f>
        <v/>
      </c>
    </row>
    <row r="14">
      <c r="A14" s="21" t="inlineStr">
        <is>
          <t>Net margin</t>
        </is>
      </c>
      <c r="B14" s="36">
        <f>IF('P&amp;L'!$E$9=0,"—",('P&amp;L'!$G$9-'Fixed Costs'!$D$12)/'P&amp;L'!$E$9)</f>
        <v/>
      </c>
    </row>
    <row r="16">
      <c r="A16" s="21" t="inlineStr">
        <is>
          <t>Break-even paying users (current mix ratio)</t>
        </is>
      </c>
      <c r="B16" s="22">
        <f>IF('P&amp;L'!$G$9=0,"—",ROUNDUP('Fixed Costs'!$D$12/('P&amp;L'!$G$9/SUM(B6:B8)),0))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13" customWidth="1" min="3" max="3"/>
    <col width="16" customWidth="1" min="4" max="4"/>
    <col width="28" customWidth="1" min="5" max="5"/>
  </cols>
  <sheetData>
    <row r="1">
      <c r="A1" s="1" t="inlineStr">
        <is>
          <t>Cost reductions available before launch</t>
        </is>
      </c>
    </row>
    <row r="2">
      <c r="A2" s="6" t="inlineStr">
        <is>
          <t>These change the COGS numbers on every other sheet. Ranked by saving per video.</t>
        </is>
      </c>
    </row>
    <row r="4" ht="28" customHeight="1">
      <c r="A4" s="11" t="inlineStr">
        <is>
          <t>Change</t>
        </is>
      </c>
      <c r="B4" s="11" t="inlineStr">
        <is>
          <t>Where</t>
        </is>
      </c>
      <c r="C4" s="11" t="inlineStr">
        <is>
          <t>Saving ₹</t>
        </is>
      </c>
      <c r="D4" s="11" t="inlineStr">
        <is>
          <t>Applies to</t>
        </is>
      </c>
      <c r="E4" s="11" t="inlineStr">
        <is>
          <t>Effort</t>
        </is>
      </c>
    </row>
    <row r="5">
      <c r="A5" s="3" t="inlineStr">
        <is>
          <t>Photo analysis → gpt-4o-mini</t>
        </is>
      </c>
      <c r="B5" s="27" t="inlineStr">
        <is>
          <t>src/lib/ai/client.ts — visionModel</t>
        </is>
      </c>
      <c r="C5" s="16">
        <f>(VLOOKUP("Photo analysis",'Unit COGS'!$A$23:$B$35,2,FALSE)-VLOOKUP("Photo analysis (4o-mini alt)",'Unit COGS'!$A$23:$B$35,2,FALSE))*Assumptions!$B$11</f>
        <v/>
      </c>
      <c r="D5" s="4" t="inlineStr">
        <is>
          <t>Clean run</t>
        </is>
      </c>
      <c r="E5" s="4" t="inlineStr">
        <is>
          <t>One line</t>
        </is>
      </c>
    </row>
    <row r="6">
      <c r="A6" s="3" t="inlineStr">
        <is>
          <t>AI auto-edit → Gemini primary, GPT-4o fallback</t>
        </is>
      </c>
      <c r="B6" s="27" t="inlineStr">
        <is>
          <t>lib/timeline/generate-ai.ts</t>
        </is>
      </c>
      <c r="C6" s="16">
        <f>VLOOKUP("AI auto-edit",'Unit COGS'!$A$23:$B$35,2,FALSE)*0.9</f>
        <v/>
      </c>
      <c r="D6" s="4" t="inlineStr">
        <is>
          <t>Clean run</t>
        </is>
      </c>
      <c r="E6" s="4" t="inlineStr">
        <is>
          <t>Mirror the generate-script pattern</t>
        </is>
      </c>
    </row>
    <row r="7">
      <c r="A7" s="3" t="inlineStr">
        <is>
          <t>Remove duplicate TTS normalisation</t>
        </is>
      </c>
      <c r="B7" s="27" t="inlineStr">
        <is>
          <t>synthesize-voiceover.ts Phase 1 + google-cloud-tts.ts both run</t>
        </is>
      </c>
      <c r="C7" s="16">
        <f>VLOOKUP("Voiceover",'Unit COGS'!$A$23:$B$35,2,FALSE)*0.045</f>
        <v/>
      </c>
      <c r="D7" s="4" t="inlineStr">
        <is>
          <t>Clean run</t>
        </is>
      </c>
      <c r="E7" s="4" t="inlineStr">
        <is>
          <t>Delete one — also cuts latency</t>
        </is>
      </c>
    </row>
    <row r="8">
      <c r="A8" s="3" t="inlineStr">
        <is>
          <t>Cache TTS on hash(script+voice+style)</t>
        </is>
      </c>
      <c r="B8" s="27" t="inlineStr">
        <is>
          <t>New cache table + R2 key</t>
        </is>
      </c>
      <c r="C8" s="16">
        <f>VLOOKUP("Voiceover",'Unit COGS'!$A$23:$B$35,2,FALSE)*('Per Video'!E10-1)</f>
        <v/>
      </c>
      <c r="D8" s="4" t="inlineStr">
        <is>
          <t>Rework only</t>
        </is>
      </c>
      <c r="E8" s="4" t="inlineStr">
        <is>
          <t>Kills the top burn source</t>
        </is>
      </c>
    </row>
    <row r="9">
      <c r="A9" s="3" t="inlineStr">
        <is>
          <t>Subtitle translate → Gemini primary</t>
        </is>
      </c>
      <c r="B9" s="27" t="inlineStr">
        <is>
          <t>api/projects/[id]/subtitles/translate/route.ts</t>
        </is>
      </c>
      <c r="C9" s="16">
        <f>VLOOKUP("Subtitle translate",'Unit COGS'!$A$23:$B$35,2,FALSE)*0.78</f>
        <v/>
      </c>
      <c r="D9" s="4" t="inlineStr">
        <is>
          <t>Not in reference video</t>
        </is>
      </c>
      <c r="E9" s="4" t="inlineStr">
        <is>
          <t>Fallback already written</t>
        </is>
      </c>
    </row>
    <row r="10">
      <c r="A10" s="17" t="inlineStr">
        <is>
          <t>SAVING ON A CLEAN RUN</t>
        </is>
      </c>
      <c r="B10" s="18" t="inlineStr"/>
      <c r="C10" s="19">
        <f>SUMIF($D$5:$D$9,"Clean run",$C$5:$C$9)</f>
        <v/>
      </c>
      <c r="D10" s="18" t="inlineStr"/>
      <c r="E10" s="18" t="inlineStr"/>
    </row>
    <row r="11">
      <c r="A11" s="17" t="inlineStr">
        <is>
          <t>ADDITIONAL SAVING ON A REWORKED VIDEO</t>
        </is>
      </c>
      <c r="B11" s="18" t="inlineStr"/>
      <c r="C11" s="19">
        <f>SUMIF($D$5:$D$9,"Rework only",$C$5:$C$9)</f>
        <v/>
      </c>
      <c r="D11" s="18" t="inlineStr"/>
      <c r="E11" s="18" t="inlineStr"/>
    </row>
    <row r="13">
      <c r="A13" s="21" t="inlineStr">
        <is>
          <t>Clean-run COGS today</t>
        </is>
      </c>
      <c r="B13" s="23">
        <f>'Per Video'!$D$16</f>
        <v/>
      </c>
    </row>
    <row r="14">
      <c r="A14" s="21" t="inlineStr">
        <is>
          <t>Clean-run COGS after these changes</t>
        </is>
      </c>
      <c r="B14" s="23">
        <f>'Per Video'!$D$16-SUMIF($D$5:$D$9,"Clean run",$C$5:$C$9)</f>
        <v/>
      </c>
    </row>
    <row r="15">
      <c r="A15" s="21" t="inlineStr">
        <is>
          <t>Markup at unchanged retail prices</t>
        </is>
      </c>
      <c r="B15" s="24">
        <f>'Per Video'!$B$18*Assumptions!$B$8/('Per Video'!$D$16-SUMIF($D$5:$D$9,"Clean run",$C$5:$C$9))</f>
        <v/>
      </c>
    </row>
    <row r="16">
      <c r="A16" s="21" t="inlineStr">
        <is>
          <t>Reworked-video COGS today</t>
        </is>
      </c>
      <c r="B16" s="23">
        <f>'Per Video'!$F$16</f>
        <v/>
      </c>
    </row>
    <row r="17">
      <c r="A17" s="21" t="inlineStr">
        <is>
          <t>Reworked-video COGS after these changes</t>
        </is>
      </c>
      <c r="B17" s="23">
        <f>'Per Video'!$F$16-SUMIF($D$5:$D$9,"Clean run",$C$5:$C$9)-SUMIF($D$5:$D$9,"Rework only",$C$5:$C$9)</f>
        <v/>
      </c>
    </row>
    <row r="19">
      <c r="A19" s="6" t="inlineStr">
        <is>
          <t>Savings are scoped deliberately: TTS caching only pays back on regeneration, and subtitle translate is not part of the reference video at all. Subtracting either from the clean-run baseline would overstate the gain.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46" customWidth="1" min="3" max="3"/>
    <col width="11" customWidth="1" min="4" max="4"/>
  </cols>
  <sheetData>
    <row r="1">
      <c r="A1" s="1" t="inlineStr">
        <is>
          <t>What the customer sees</t>
        </is>
      </c>
    </row>
    <row r="2">
      <c r="A2" s="6" t="inlineStr">
        <is>
          <t>One price per button. Internal fan-out — normalisation, TTS, alignment, fallbacks — is invisible and included.</t>
        </is>
      </c>
    </row>
    <row r="4" ht="28" customHeight="1">
      <c r="A4" s="11" t="inlineStr">
        <is>
          <t>Button</t>
        </is>
      </c>
      <c r="B4" s="11" t="inlineStr">
        <is>
          <t>Where</t>
        </is>
      </c>
      <c r="C4" s="11" t="inlineStr">
        <is>
          <t>What the user reads</t>
        </is>
      </c>
      <c r="D4" s="11" t="inlineStr">
        <is>
          <t>Credits</t>
        </is>
      </c>
    </row>
    <row r="5">
      <c r="A5" s="3" t="inlineStr">
        <is>
          <t>Extract facts</t>
        </is>
      </c>
      <c r="B5" s="4" t="inlineStr">
        <is>
          <t>Details tab</t>
        </is>
      </c>
      <c r="C5" s="4" t="inlineStr">
        <is>
          <t>Read the listing and pull out the facts</t>
        </is>
      </c>
      <c r="D5" s="14">
        <f>VLOOKUP("Extract facts",Credits!$A$5:$C$17,3,FALSE)</f>
        <v/>
      </c>
    </row>
    <row r="6">
      <c r="A6" s="3" t="inlineStr">
        <is>
          <t>Generate scripts</t>
        </is>
      </c>
      <c r="B6" s="4" t="inlineStr">
        <is>
          <t>Scripts tab</t>
        </is>
      </c>
      <c r="C6" s="4" t="inlineStr">
        <is>
          <t>Write 3 script options</t>
        </is>
      </c>
      <c r="D6" s="14">
        <f>VLOOKUP("Script pack",Credits!$A$5:$C$17,3,FALSE)</f>
        <v/>
      </c>
    </row>
    <row r="7">
      <c r="A7" s="3" t="inlineStr">
        <is>
          <t>Refine with AI</t>
        </is>
      </c>
      <c r="B7" s="4" t="inlineStr">
        <is>
          <t>Scripts tab</t>
        </is>
      </c>
      <c r="C7" s="4" t="inlineStr">
        <is>
          <t>Rewrite this script with your notes</t>
        </is>
      </c>
      <c r="D7" s="14">
        <f>VLOOKUP("Refine script",Credits!$A$5:$C$17,3,FALSE)</f>
        <v/>
      </c>
    </row>
    <row r="8">
      <c r="A8" s="3" t="inlineStr">
        <is>
          <t>Analyze (per photo)</t>
        </is>
      </c>
      <c r="B8" s="4" t="inlineStr">
        <is>
          <t>Media tab</t>
        </is>
      </c>
      <c r="C8" s="4" t="inlineStr">
        <is>
          <t>Tag this photo for auto-editing</t>
        </is>
      </c>
      <c r="D8" s="14">
        <f>VLOOKUP("Photo analysis",Credits!$A$5:$C$17,3,FALSE)</f>
        <v/>
      </c>
    </row>
    <row r="9">
      <c r="A9" s="3" t="inlineStr">
        <is>
          <t>Analyze all</t>
        </is>
      </c>
      <c r="B9" s="4" t="inlineStr">
        <is>
          <t>Media tab</t>
        </is>
      </c>
      <c r="C9" s="4" t="inlineStr">
        <is>
          <t>Tag every photo in the project</t>
        </is>
      </c>
      <c r="D9" s="14">
        <f>VLOOKUP("Photo analysis",Credits!$A$5:$C$17,3,FALSE)*Assumptions!$B$11</f>
        <v/>
      </c>
    </row>
    <row r="10">
      <c r="A10" s="3" t="inlineStr">
        <is>
          <t>Preview sample</t>
        </is>
      </c>
      <c r="B10" s="4" t="inlineStr">
        <is>
          <t>Voiceover panel</t>
        </is>
      </c>
      <c r="C10" s="4" t="inlineStr">
        <is>
          <t>Hear this voice before committing</t>
        </is>
      </c>
      <c r="D10" s="14">
        <f>VLOOKUP("Voice preview",Credits!$A$5:$C$17,3,FALSE)</f>
        <v/>
      </c>
    </row>
    <row r="11">
      <c r="A11" s="3" t="inlineStr">
        <is>
          <t>Generate voiceover</t>
        </is>
      </c>
      <c r="B11" s="4" t="inlineStr">
        <is>
          <t>Voiceover panel</t>
        </is>
      </c>
      <c r="C11" s="4" t="inlineStr">
        <is>
          <t>Narrate the script</t>
        </is>
      </c>
      <c r="D11" s="14">
        <f>VLOOKUP("Voiceover",Credits!$A$5:$C$17,3,FALSE)</f>
        <v/>
      </c>
    </row>
    <row r="12">
      <c r="A12" s="3" t="inlineStr">
        <is>
          <t>AI auto-edit</t>
        </is>
      </c>
      <c r="B12" s="4" t="inlineStr">
        <is>
          <t>Timeline panel</t>
        </is>
      </c>
      <c r="C12" s="4" t="inlineStr">
        <is>
          <t>Build the timeline from your photos + script</t>
        </is>
      </c>
      <c r="D12" s="14">
        <f>VLOOKUP("AI auto-edit",Credits!$A$5:$C$17,3,FALSE)</f>
        <v/>
      </c>
    </row>
    <row r="13">
      <c r="A13" s="3" t="inlineStr">
        <is>
          <t>Translate subtitles</t>
        </is>
      </c>
      <c r="B13" s="4" t="inlineStr">
        <is>
          <t>Subtitle Studio</t>
        </is>
      </c>
      <c r="C13" s="4" t="inlineStr">
        <is>
          <t>Translate captions to another language</t>
        </is>
      </c>
      <c r="D13" s="14">
        <f>VLOOKUP("Subtitle translate",Credits!$A$5:$C$17,3,FALSE)</f>
        <v/>
      </c>
    </row>
    <row r="14">
      <c r="A14" s="3" t="inlineStr">
        <is>
          <t>Re-time subtitles</t>
        </is>
      </c>
      <c r="B14" s="4" t="inlineStr">
        <is>
          <t>Subtitle Studio</t>
        </is>
      </c>
      <c r="C14" s="4" t="inlineStr">
        <is>
          <t>Re-sync captions to the audio</t>
        </is>
      </c>
      <c r="D14" s="14">
        <f>VLOOKUP("Subtitle re-align",Credits!$A$5:$C$17,3,FALSE)</f>
        <v/>
      </c>
    </row>
    <row r="15">
      <c r="A15" s="3" t="inlineStr">
        <is>
          <t>Generate content pack</t>
        </is>
      </c>
      <c r="B15" s="4" t="inlineStr">
        <is>
          <t>Social tab</t>
        </is>
      </c>
      <c r="C15" s="4" t="inlineStr">
        <is>
          <t>Instagram, Facebook and WhatsApp captions</t>
        </is>
      </c>
      <c r="D15" s="14">
        <f>VLOOKUP("Social captions",Credits!$A$5:$C$17,3,FALSE)</f>
        <v/>
      </c>
    </row>
    <row r="16">
      <c r="A16" s="3" t="inlineStr">
        <is>
          <t>Export</t>
        </is>
      </c>
      <c r="B16" s="4" t="inlineStr">
        <is>
          <t>Editor top nav (web)</t>
        </is>
      </c>
      <c r="C16" s="4" t="inlineStr">
        <is>
          <t>Render 1080p MP4</t>
        </is>
      </c>
      <c r="D16" s="14">
        <f>VLOOKUP("Web export",Credits!$A$5:$C$17,3,FALSE)</f>
        <v/>
      </c>
    </row>
    <row r="17">
      <c r="A17" s="3" t="inlineStr">
        <is>
          <t>Export</t>
        </is>
      </c>
      <c r="B17" s="4" t="inlineStr">
        <is>
          <t>Desktop app</t>
        </is>
      </c>
      <c r="C17" s="4" t="inlineStr">
        <is>
          <t>Renders on your PC — unlimited</t>
        </is>
      </c>
      <c r="D17" s="14">
        <f>VLOOKUP("Desktop export",Credits!$A$5:$C$17,3,FALSE)</f>
        <v/>
      </c>
    </row>
    <row r="19">
      <c r="A19" s="5" t="inlineStr">
        <is>
          <t>THE THREE NUMBERS ON THE PRICING PAGE</t>
        </is>
      </c>
    </row>
    <row r="20">
      <c r="A20" s="21" t="inlineStr">
        <is>
          <t>1 credit ≈</t>
        </is>
      </c>
      <c r="B20" s="23">
        <f>Assumptions!$B$8</f>
        <v/>
      </c>
    </row>
    <row r="21">
      <c r="A21" s="21" t="inlineStr">
        <is>
          <t>A finished video ≈ (credits)</t>
        </is>
      </c>
      <c r="B21" s="22">
        <f>'Per Video'!$B$18</f>
        <v/>
      </c>
    </row>
    <row r="22">
      <c r="A22" s="21" t="inlineStr">
        <is>
          <t>Pro = ₹1,499 for ~N videos</t>
        </is>
      </c>
      <c r="B22" s="37">
        <f>Plans!D7</f>
        <v/>
      </c>
    </row>
    <row r="24">
      <c r="A24" s="5" t="inlineStr">
        <is>
          <t>UI RULES</t>
        </is>
      </c>
    </row>
    <row r="25">
      <c r="A25" s="28" t="inlineStr">
        <is>
          <t>Price on the button before the click — "Generate voiceover · 9 cr". Variable costs computed live.</t>
        </is>
      </c>
    </row>
    <row r="26">
      <c r="A26" s="28" t="inlineStr">
        <is>
          <t>Confirm only above 10 credits (AI auto-edit, bulk photo analysis). Nothing smaller needs a dialog.</t>
        </is>
      </c>
    </row>
    <row r="27">
      <c r="A27" s="28" t="inlineStr">
        <is>
          <t>Receipt toast on completion: "Voiceover ready · 9 credits used · 1,562 left".</t>
        </is>
      </c>
    </row>
    <row r="28">
      <c r="A28" s="28" t="inlineStr">
        <is>
          <t>Persistent balance in the top nav, clickable through to history.</t>
        </is>
      </c>
    </row>
    <row r="29">
      <c r="A29" s="28" t="inlineStr">
        <is>
          <t>History page in Settings: date, action, project, credits, running balance — refunds as their own rows.</t>
        </is>
      </c>
    </row>
    <row r="30">
      <c r="A30" s="28" t="inlineStr">
        <is>
          <t>Low balance at 15% — inline banner, not a modal. At zero, disable paid buttons with a top-up prompt.</t>
        </is>
      </c>
    </row>
    <row r="31">
      <c r="A31" s="28" t="inlineStr">
        <is>
          <t>Never charge twice for the same output — unchanged regeneration is free and the button says so.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2026-07-22T15:35:56Z</dcterms:created>
  <dcterms:modified xmlns:dcterms="http://purl.org/dc/terms/" xmlns:xsi="http://www.w3.org/2001/XMLSchema-instance" xsi:type="dcterms:W3CDTF">2026-07-22T15:35:56Z</dcterms:modified>
</cp:coreProperties>
</file>